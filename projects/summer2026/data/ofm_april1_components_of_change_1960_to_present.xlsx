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ofm.wa.lcl\OFMFC\POP\Pop_Estimates\2026\Final_Tables_for_Internet\components\"/>
    </mc:Choice>
  </mc:AlternateContent>
  <xr:revisionPtr revIDLastSave="0" documentId="13_ncr:1_{4BE9A0C9-2401-4A91-9566-3F757E1C53EA}" xr6:coauthVersionLast="47" xr6:coauthVersionMax="47" xr10:uidLastSave="{00000000-0000-0000-0000-000000000000}"/>
  <bookViews>
    <workbookView xWindow="-57345" yWindow="60" windowWidth="28545" windowHeight="15525" tabRatio="682" xr2:uid="{00000000-000D-0000-FFFF-FFFF00000000}"/>
  </bookViews>
  <sheets>
    <sheet name="Readme" sheetId="4" r:id="rId1"/>
    <sheet name="Population" sheetId="5" r:id="rId2"/>
    <sheet name="Annual Change" sheetId="7" r:id="rId3"/>
    <sheet name="Annual % Change" sheetId="9" r:id="rId4"/>
    <sheet name="Births" sheetId="10" r:id="rId5"/>
    <sheet name="Deaths" sheetId="11" r:id="rId6"/>
    <sheet name="Natural Change" sheetId="12" r:id="rId7"/>
    <sheet name="Residual Net Migration" sheetId="13" r:id="rId8"/>
  </sheets>
  <definedNames>
    <definedName name="_xlnm._FilterDatabase" localSheetId="1" hidden="1">Population!$A$4:$BG$44</definedName>
    <definedName name="_xlnm.Print_Titles" localSheetId="3">'Annual % Change'!$A:$B,'Annual % Change'!$1:$4</definedName>
    <definedName name="_xlnm.Print_Titles" localSheetId="2">'Annual Change'!$A:$B,'Annual Change'!$1:$4</definedName>
    <definedName name="_xlnm.Print_Titles" localSheetId="4">Births!$A:$B,Births!$1:$4</definedName>
    <definedName name="_xlnm.Print_Titles" localSheetId="5">Deaths!$A:$B,Deaths!$1:$4</definedName>
    <definedName name="_xlnm.Print_Titles" localSheetId="6">'Natural Change'!$A:$B,'Natural Change'!$1:$4</definedName>
    <definedName name="_xlnm.Print_Titles" localSheetId="1">Population!$A:$B,Population!$1:$4</definedName>
    <definedName name="_xlnm.Print_Titles" localSheetId="7">'Residual Net Migration'!$A:$B,'Residual Net Migration'!$1:$4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Q44" i="13" l="1"/>
  <c r="BP44" i="13"/>
  <c r="BO44" i="13"/>
  <c r="BQ43" i="13"/>
  <c r="BP43" i="13"/>
  <c r="BO43" i="13"/>
  <c r="BQ42" i="13"/>
  <c r="BP42" i="13"/>
  <c r="BO42" i="13"/>
  <c r="BQ41" i="13"/>
  <c r="BP41" i="13"/>
  <c r="BO41" i="13"/>
  <c r="BQ40" i="13"/>
  <c r="BP40" i="13"/>
  <c r="BO40" i="13"/>
  <c r="BQ39" i="13"/>
  <c r="BP39" i="13"/>
  <c r="BO39" i="13"/>
  <c r="BQ38" i="13"/>
  <c r="BP38" i="13"/>
  <c r="BO38" i="13"/>
  <c r="BQ37" i="13"/>
  <c r="BP37" i="13"/>
  <c r="BO37" i="13"/>
  <c r="BQ36" i="13"/>
  <c r="BP36" i="13"/>
  <c r="BO36" i="13"/>
  <c r="BQ35" i="13"/>
  <c r="BP35" i="13"/>
  <c r="BO35" i="13"/>
  <c r="BQ34" i="13"/>
  <c r="BP34" i="13"/>
  <c r="BO34" i="13"/>
  <c r="BQ33" i="13"/>
  <c r="BP33" i="13"/>
  <c r="BO33" i="13"/>
  <c r="BQ32" i="13"/>
  <c r="BP32" i="13"/>
  <c r="BO32" i="13"/>
  <c r="BQ31" i="13"/>
  <c r="BP31" i="13"/>
  <c r="BO31" i="13"/>
  <c r="BQ30" i="13"/>
  <c r="BP30" i="13"/>
  <c r="BO30" i="13"/>
  <c r="BQ29" i="13"/>
  <c r="BP29" i="13"/>
  <c r="BO29" i="13"/>
  <c r="BQ28" i="13"/>
  <c r="BP28" i="13"/>
  <c r="BO28" i="13"/>
  <c r="BQ27" i="13"/>
  <c r="BP27" i="13"/>
  <c r="BO27" i="13"/>
  <c r="BQ26" i="13"/>
  <c r="BP26" i="13"/>
  <c r="BO26" i="13"/>
  <c r="BQ25" i="13"/>
  <c r="BP25" i="13"/>
  <c r="BO25" i="13"/>
  <c r="BQ24" i="13"/>
  <c r="BP24" i="13"/>
  <c r="BO24" i="13"/>
  <c r="BQ23" i="13"/>
  <c r="BP23" i="13"/>
  <c r="BO23" i="13"/>
  <c r="BQ22" i="13"/>
  <c r="BP22" i="13"/>
  <c r="BO22" i="13"/>
  <c r="BQ21" i="13"/>
  <c r="BP21" i="13"/>
  <c r="BO21" i="13"/>
  <c r="BQ20" i="13"/>
  <c r="BP20" i="13"/>
  <c r="BO20" i="13"/>
  <c r="BQ19" i="13"/>
  <c r="BP19" i="13"/>
  <c r="BO19" i="13"/>
  <c r="BQ18" i="13"/>
  <c r="BP18" i="13"/>
  <c r="BO18" i="13"/>
  <c r="BQ17" i="13"/>
  <c r="BP17" i="13"/>
  <c r="BO17" i="13"/>
  <c r="BQ16" i="13"/>
  <c r="BP16" i="13"/>
  <c r="BO16" i="13"/>
  <c r="BQ15" i="13"/>
  <c r="BP15" i="13"/>
  <c r="BO15" i="13"/>
  <c r="BQ14" i="13"/>
  <c r="BP14" i="13"/>
  <c r="BO14" i="13"/>
  <c r="BQ13" i="13"/>
  <c r="BP13" i="13"/>
  <c r="BO13" i="13"/>
  <c r="BQ12" i="13"/>
  <c r="BP12" i="13"/>
  <c r="BO12" i="13"/>
  <c r="BQ11" i="13"/>
  <c r="BP11" i="13"/>
  <c r="BO11" i="13"/>
  <c r="BQ10" i="13"/>
  <c r="BP10" i="13"/>
  <c r="BO10" i="13"/>
  <c r="BQ9" i="13"/>
  <c r="BP9" i="13"/>
  <c r="BO9" i="13"/>
  <c r="BQ8" i="13"/>
  <c r="BP8" i="13"/>
  <c r="BO8" i="13"/>
  <c r="BQ7" i="13"/>
  <c r="BP7" i="13"/>
  <c r="BO7" i="13"/>
  <c r="BQ6" i="13"/>
  <c r="BP6" i="13"/>
  <c r="BO6" i="13"/>
  <c r="BQ5" i="13"/>
  <c r="BP5" i="13"/>
  <c r="BO5" i="13"/>
  <c r="BQ44" i="12"/>
  <c r="BP44" i="12"/>
  <c r="BO44" i="12"/>
  <c r="BQ43" i="12"/>
  <c r="BP43" i="12"/>
  <c r="BO43" i="12"/>
  <c r="BQ42" i="12"/>
  <c r="BP42" i="12"/>
  <c r="BO42" i="12"/>
  <c r="BQ41" i="12"/>
  <c r="BP41" i="12"/>
  <c r="BO41" i="12"/>
  <c r="BQ40" i="12"/>
  <c r="BP40" i="12"/>
  <c r="BO40" i="12"/>
  <c r="BQ39" i="12"/>
  <c r="BP39" i="12"/>
  <c r="BO39" i="12"/>
  <c r="BQ38" i="12"/>
  <c r="BP38" i="12"/>
  <c r="BO38" i="12"/>
  <c r="BQ37" i="12"/>
  <c r="BP37" i="12"/>
  <c r="BO37" i="12"/>
  <c r="BQ36" i="12"/>
  <c r="BP36" i="12"/>
  <c r="BO36" i="12"/>
  <c r="BQ35" i="12"/>
  <c r="BP35" i="12"/>
  <c r="BO35" i="12"/>
  <c r="BQ34" i="12"/>
  <c r="BP34" i="12"/>
  <c r="BO34" i="12"/>
  <c r="BQ33" i="12"/>
  <c r="BP33" i="12"/>
  <c r="BO33" i="12"/>
  <c r="BQ32" i="12"/>
  <c r="BP32" i="12"/>
  <c r="BO32" i="12"/>
  <c r="BQ31" i="12"/>
  <c r="BP31" i="12"/>
  <c r="BO31" i="12"/>
  <c r="BQ30" i="12"/>
  <c r="BP30" i="12"/>
  <c r="BO30" i="12"/>
  <c r="BQ29" i="12"/>
  <c r="BP29" i="12"/>
  <c r="BO29" i="12"/>
  <c r="BQ28" i="12"/>
  <c r="BP28" i="12"/>
  <c r="BO28" i="12"/>
  <c r="BQ27" i="12"/>
  <c r="BP27" i="12"/>
  <c r="BO27" i="12"/>
  <c r="BQ26" i="12"/>
  <c r="BP26" i="12"/>
  <c r="BO26" i="12"/>
  <c r="BQ25" i="12"/>
  <c r="BP25" i="12"/>
  <c r="BO25" i="12"/>
  <c r="BQ24" i="12"/>
  <c r="BP24" i="12"/>
  <c r="BO24" i="12"/>
  <c r="BQ23" i="12"/>
  <c r="BP23" i="12"/>
  <c r="BO23" i="12"/>
  <c r="BQ22" i="12"/>
  <c r="BP22" i="12"/>
  <c r="BO22" i="12"/>
  <c r="BQ21" i="12"/>
  <c r="BP21" i="12"/>
  <c r="BO21" i="12"/>
  <c r="BQ20" i="12"/>
  <c r="BP20" i="12"/>
  <c r="BO20" i="12"/>
  <c r="BQ19" i="12"/>
  <c r="BP19" i="12"/>
  <c r="BO19" i="12"/>
  <c r="BQ18" i="12"/>
  <c r="BP18" i="12"/>
  <c r="BO18" i="12"/>
  <c r="BQ17" i="12"/>
  <c r="BP17" i="12"/>
  <c r="BO17" i="12"/>
  <c r="BQ16" i="12"/>
  <c r="BP16" i="12"/>
  <c r="BO16" i="12"/>
  <c r="BQ15" i="12"/>
  <c r="BP15" i="12"/>
  <c r="BO15" i="12"/>
  <c r="BQ14" i="12"/>
  <c r="BP14" i="12"/>
  <c r="BO14" i="12"/>
  <c r="BQ13" i="12"/>
  <c r="BP13" i="12"/>
  <c r="BO13" i="12"/>
  <c r="BQ12" i="12"/>
  <c r="BP12" i="12"/>
  <c r="BO12" i="12"/>
  <c r="BQ11" i="12"/>
  <c r="BP11" i="12"/>
  <c r="BO11" i="12"/>
  <c r="BQ10" i="12"/>
  <c r="BP10" i="12"/>
  <c r="BO10" i="12"/>
  <c r="BQ9" i="12"/>
  <c r="BP9" i="12"/>
  <c r="BO9" i="12"/>
  <c r="BQ8" i="12"/>
  <c r="BP8" i="12"/>
  <c r="BO8" i="12"/>
  <c r="BQ7" i="12"/>
  <c r="BP7" i="12"/>
  <c r="BO7" i="12"/>
  <c r="BQ6" i="12"/>
  <c r="BP6" i="12"/>
  <c r="BO6" i="12"/>
  <c r="BQ5" i="12"/>
  <c r="BP5" i="12"/>
  <c r="BO5" i="12"/>
  <c r="BQ44" i="9"/>
  <c r="BQ43" i="9"/>
  <c r="BQ42" i="9"/>
  <c r="BQ41" i="9"/>
  <c r="BQ40" i="9"/>
  <c r="BQ39" i="9"/>
  <c r="BQ38" i="9"/>
  <c r="BQ37" i="9"/>
  <c r="BQ36" i="9"/>
  <c r="BQ35" i="9"/>
  <c r="BQ34" i="9"/>
  <c r="BQ33" i="9"/>
  <c r="BQ32" i="9"/>
  <c r="BQ31" i="9"/>
  <c r="BQ30" i="9"/>
  <c r="BQ29" i="9"/>
  <c r="BQ28" i="9"/>
  <c r="BQ27" i="9"/>
  <c r="BQ26" i="9"/>
  <c r="BQ25" i="9"/>
  <c r="BQ24" i="9"/>
  <c r="BQ23" i="9"/>
  <c r="BQ22" i="9"/>
  <c r="BQ21" i="9"/>
  <c r="BQ20" i="9"/>
  <c r="BQ19" i="9"/>
  <c r="BQ18" i="9"/>
  <c r="BQ17" i="9"/>
  <c r="BQ16" i="9"/>
  <c r="BQ15" i="9"/>
  <c r="BQ14" i="9"/>
  <c r="BQ13" i="9"/>
  <c r="BQ12" i="9"/>
  <c r="BQ11" i="9"/>
  <c r="BQ10" i="9"/>
  <c r="BQ9" i="9"/>
  <c r="BQ8" i="9"/>
  <c r="BQ7" i="9"/>
  <c r="BQ6" i="9"/>
  <c r="BQ5" i="9"/>
  <c r="BQ44" i="7"/>
  <c r="BQ43" i="7"/>
  <c r="BQ42" i="7"/>
  <c r="BQ41" i="7"/>
  <c r="BQ40" i="7"/>
  <c r="BQ39" i="7"/>
  <c r="BQ38" i="7"/>
  <c r="BQ37" i="7"/>
  <c r="BQ36" i="7"/>
  <c r="BQ35" i="7"/>
  <c r="BQ34" i="7"/>
  <c r="BQ33" i="7"/>
  <c r="BQ32" i="7"/>
  <c r="BQ31" i="7"/>
  <c r="BQ30" i="7"/>
  <c r="BQ29" i="7"/>
  <c r="BQ28" i="7"/>
  <c r="BQ27" i="7"/>
  <c r="BQ26" i="7"/>
  <c r="BQ25" i="7"/>
  <c r="BQ24" i="7"/>
  <c r="BQ23" i="7"/>
  <c r="BQ22" i="7"/>
  <c r="BQ21" i="7"/>
  <c r="BQ20" i="7"/>
  <c r="BQ19" i="7"/>
  <c r="BQ18" i="7"/>
  <c r="BQ17" i="7"/>
  <c r="BQ16" i="7"/>
  <c r="BQ15" i="7"/>
  <c r="BQ14" i="7"/>
  <c r="BQ13" i="7"/>
  <c r="BQ12" i="7"/>
  <c r="BQ11" i="7"/>
  <c r="BQ10" i="7"/>
  <c r="BQ9" i="7"/>
  <c r="BQ8" i="7"/>
  <c r="BQ7" i="7"/>
  <c r="BQ6" i="7"/>
  <c r="BQ5" i="7"/>
</calcChain>
</file>

<file path=xl/sharedStrings.xml><?xml version="1.0" encoding="utf-8"?>
<sst xmlns="http://schemas.openxmlformats.org/spreadsheetml/2006/main" count="1285" uniqueCount="566">
  <si>
    <t>Adams</t>
  </si>
  <si>
    <t>Adams County</t>
  </si>
  <si>
    <t>.</t>
  </si>
  <si>
    <t>Asotin</t>
  </si>
  <si>
    <t>Asotin County</t>
  </si>
  <si>
    <t>Benton</t>
  </si>
  <si>
    <t>Benton County</t>
  </si>
  <si>
    <t>Chelan</t>
  </si>
  <si>
    <t>Chelan County</t>
  </si>
  <si>
    <t>Clallam</t>
  </si>
  <si>
    <t>Clallam County</t>
  </si>
  <si>
    <t>Clark</t>
  </si>
  <si>
    <t>Clark County</t>
  </si>
  <si>
    <t>Columbia</t>
  </si>
  <si>
    <t>Columbia County</t>
  </si>
  <si>
    <t>Cowlitz</t>
  </si>
  <si>
    <t>Cowlitz County</t>
  </si>
  <si>
    <t>Douglas</t>
  </si>
  <si>
    <t>Douglas County</t>
  </si>
  <si>
    <t>Ferry</t>
  </si>
  <si>
    <t>Ferry County</t>
  </si>
  <si>
    <t>Franklin</t>
  </si>
  <si>
    <t>Franklin County</t>
  </si>
  <si>
    <t>Garfield</t>
  </si>
  <si>
    <t>Garfield County</t>
  </si>
  <si>
    <t>Grant</t>
  </si>
  <si>
    <t>Grant County</t>
  </si>
  <si>
    <t>Grays Harbor</t>
  </si>
  <si>
    <t>Grays Harbor County</t>
  </si>
  <si>
    <t>Island</t>
  </si>
  <si>
    <t>Island County</t>
  </si>
  <si>
    <t>Jefferson</t>
  </si>
  <si>
    <t>Jefferson County</t>
  </si>
  <si>
    <t>King</t>
  </si>
  <si>
    <t>King County</t>
  </si>
  <si>
    <t>Pacific</t>
  </si>
  <si>
    <t>Kitsap</t>
  </si>
  <si>
    <t>Kitsap County</t>
  </si>
  <si>
    <t>Kittitas</t>
  </si>
  <si>
    <t>Kittitas County</t>
  </si>
  <si>
    <t>Klickitat</t>
  </si>
  <si>
    <t>Klickitat County</t>
  </si>
  <si>
    <t>Lewis</t>
  </si>
  <si>
    <t>Lewis County</t>
  </si>
  <si>
    <t>Lincoln</t>
  </si>
  <si>
    <t>Lincoln County</t>
  </si>
  <si>
    <t>Mason</t>
  </si>
  <si>
    <t>Mason County</t>
  </si>
  <si>
    <t>Okanogan</t>
  </si>
  <si>
    <t>Okanogan County</t>
  </si>
  <si>
    <t>Pacific County</t>
  </si>
  <si>
    <t>Pend Oreille</t>
  </si>
  <si>
    <t>Pend Oreille County</t>
  </si>
  <si>
    <t>Pierce</t>
  </si>
  <si>
    <t>Pierce County</t>
  </si>
  <si>
    <t>San Juan</t>
  </si>
  <si>
    <t>San Juan County</t>
  </si>
  <si>
    <t>Skagit</t>
  </si>
  <si>
    <t>Skagit County</t>
  </si>
  <si>
    <t>Skamania</t>
  </si>
  <si>
    <t>Skamania County</t>
  </si>
  <si>
    <t>Snohomish</t>
  </si>
  <si>
    <t>Snohomish County</t>
  </si>
  <si>
    <t>Spokane</t>
  </si>
  <si>
    <t>Spokane County</t>
  </si>
  <si>
    <t>Stevens</t>
  </si>
  <si>
    <t>Stevens County</t>
  </si>
  <si>
    <t>Thurston</t>
  </si>
  <si>
    <t>Thurston County</t>
  </si>
  <si>
    <t>Wahkiakum</t>
  </si>
  <si>
    <t>Wahkiakum County</t>
  </si>
  <si>
    <t>Walla Walla</t>
  </si>
  <si>
    <t>Walla Walla County</t>
  </si>
  <si>
    <t>Whatcom</t>
  </si>
  <si>
    <t>Whatcom County</t>
  </si>
  <si>
    <t>Whitman</t>
  </si>
  <si>
    <t>Whitman County</t>
  </si>
  <si>
    <t>Yakima</t>
  </si>
  <si>
    <t>Yakima County</t>
  </si>
  <si>
    <t>State</t>
  </si>
  <si>
    <t>State Total</t>
  </si>
  <si>
    <t>County</t>
  </si>
  <si>
    <t>Jurisdiction</t>
  </si>
  <si>
    <t>Intercensal Estimate of Total Population 1981</t>
  </si>
  <si>
    <t>Intercensal Estimate of Total Population 1982</t>
  </si>
  <si>
    <t>Intercensal Estimate of Total Population 1983</t>
  </si>
  <si>
    <t>Intercensal Estimate of Total Population 1984</t>
  </si>
  <si>
    <t>Intercensal Estimate of Total Population 1985</t>
  </si>
  <si>
    <t>Intercensal Estimate of Total Population 1986</t>
  </si>
  <si>
    <t>Intercensal Estimate of Total Population 1987</t>
  </si>
  <si>
    <t>Intercensal Estimate of Total Population 1988</t>
  </si>
  <si>
    <t>Intercensal Estimate of Total Population 1989</t>
  </si>
  <si>
    <t>Intercensal Estimate of Total Population 1991</t>
  </si>
  <si>
    <t>Intercensal Estimate of Total Population 1992</t>
  </si>
  <si>
    <t>Intercensal Estimate of Total Population 1993</t>
  </si>
  <si>
    <t>Intercensal Estimate of Total Population 1994</t>
  </si>
  <si>
    <t>Intercensal Estimate of Total Population 1995</t>
  </si>
  <si>
    <t>Intercensal Estimate of Total Population 1996</t>
  </si>
  <si>
    <t>Intercensal Estimate of Total Population 1997</t>
  </si>
  <si>
    <t>Intercensal Estimate of Total Population 1998</t>
  </si>
  <si>
    <t>Intercensal Estimate of Total Population 1999</t>
  </si>
  <si>
    <t>Intercensal Estimate of Total Population 2001</t>
  </si>
  <si>
    <t>Intercensal Estimate of Total Population 2002</t>
  </si>
  <si>
    <t>Intercensal Estimate of Total Population 2003</t>
  </si>
  <si>
    <t>Intercensal Estimate of Total Population 2004</t>
  </si>
  <si>
    <t>Intercensal Estimate of Total Population 2005</t>
  </si>
  <si>
    <t>Intercensal Estimate of Total Population 2006</t>
  </si>
  <si>
    <t>Intercensal Estimate of Total Population 2007</t>
  </si>
  <si>
    <t>Intercensal Estimate of Total Population 2008</t>
  </si>
  <si>
    <t>Intercensal Estimate of Total Population 2009</t>
  </si>
  <si>
    <t>Estimate of Total Population 1961</t>
  </si>
  <si>
    <t xml:space="preserve"> Estimate of Total Population 1962</t>
  </si>
  <si>
    <t>Estimate of Total Population 1963</t>
  </si>
  <si>
    <t>Annual Change in Total Population 1960-1961</t>
  </si>
  <si>
    <t>Annual Change in Total Population 1961-1962</t>
  </si>
  <si>
    <t>Annual Change in Total Population 1962-1963</t>
  </si>
  <si>
    <t>Annual Change in Total Population 1963-1964</t>
  </si>
  <si>
    <t>Annual Change in Total Population 1964-1965</t>
  </si>
  <si>
    <t>Annual Change in Total Population 1965-1966</t>
  </si>
  <si>
    <t>Annual Change in Total Population 1966-1967</t>
  </si>
  <si>
    <t>Annual Change in Total Population 1967-1968</t>
  </si>
  <si>
    <t>Annual Change in Total Population 1968-1969</t>
  </si>
  <si>
    <t>Annual Change in Total Population 1969-1970</t>
  </si>
  <si>
    <t>Annual Change in Total Population 1970-1971</t>
  </si>
  <si>
    <t>Annual Change in Total Population 1971-1972</t>
  </si>
  <si>
    <t>Annual Change in Total Population 1972-1973</t>
  </si>
  <si>
    <t>Annual Change in Total Population 1973-1974</t>
  </si>
  <si>
    <t>Annual Change in Total Population 1974-1975</t>
  </si>
  <si>
    <t>Annual Change in Total Population 1975-1976</t>
  </si>
  <si>
    <t>Annual Change in Total Population 1976-1977</t>
  </si>
  <si>
    <t>Annual Change in Total Population 1977-1978</t>
  </si>
  <si>
    <t>Annual Change in Total Population 1978-1979</t>
  </si>
  <si>
    <t>Annual Change in Total Population 1979-1980</t>
  </si>
  <si>
    <t>Annual Change in Total Population 1980-1981</t>
  </si>
  <si>
    <t>Annual Change in Total Population 1981-1982</t>
  </si>
  <si>
    <t>Annual Change in Total Population 1982-1983</t>
  </si>
  <si>
    <t>Annual Change in Total Population 1983-1984</t>
  </si>
  <si>
    <t>Annual Change in Total Population 1984-1985</t>
  </si>
  <si>
    <t>Annual Change in Total Population 1985-1986</t>
  </si>
  <si>
    <t>Annual Change in Total Population 1986-1987</t>
  </si>
  <si>
    <t>Annual Change in Total Population 1987-1988</t>
  </si>
  <si>
    <t>Annual Change in Total Population 1988-1989</t>
  </si>
  <si>
    <t>Annual Change in Total Population 1989-1990</t>
  </si>
  <si>
    <t>Annual Change in Total Population 1990-1991</t>
  </si>
  <si>
    <t>Annual Change in Total Population 1991-1992</t>
  </si>
  <si>
    <t>Annual Change in Total Population 1992-1993</t>
  </si>
  <si>
    <t>Annual Change in Total Population 1993-1994</t>
  </si>
  <si>
    <t>Annual Change in Total Population 1994-1995</t>
  </si>
  <si>
    <t>Annual Change in Total Population 1995-1996</t>
  </si>
  <si>
    <t>Annual Change in Total Population 1996-1997</t>
  </si>
  <si>
    <t>Annual Change in Total Population 1997-1998</t>
  </si>
  <si>
    <t>Annual Change in Total Population 1998-1999</t>
  </si>
  <si>
    <t>Annual Change in Total Population 1999-2000</t>
  </si>
  <si>
    <t>Annual Change in Total Population 2000-2001</t>
  </si>
  <si>
    <t>Annual Change in Total Population 2001-2002</t>
  </si>
  <si>
    <t>Annual Change in Total Population 2002-2003</t>
  </si>
  <si>
    <t>Annual Change in Total Population 2003-2004</t>
  </si>
  <si>
    <t>Annual Change in Total Population 2004-2005</t>
  </si>
  <si>
    <t>Annual Change in Total Population 2005-2006</t>
  </si>
  <si>
    <t>Annual Change in Total Population 2006-2007</t>
  </si>
  <si>
    <t>Annual Change in Total Population 2007-2008</t>
  </si>
  <si>
    <t>Annual Change in Total Population 2008-2009</t>
  </si>
  <si>
    <t>Annual Change in Total Population 2009-2010</t>
  </si>
  <si>
    <t>Annual Change in Total Population 2010-2011</t>
  </si>
  <si>
    <t>Annual Change in Total Population 2011-2012</t>
  </si>
  <si>
    <t>Deaths 1960-1961</t>
  </si>
  <si>
    <t>Deaths 1961-1962</t>
  </si>
  <si>
    <t>Deaths 1962-1963</t>
  </si>
  <si>
    <t>Deaths 1963-1964</t>
  </si>
  <si>
    <t>Deaths 1964-1965</t>
  </si>
  <si>
    <t>Deaths 1965-1966</t>
  </si>
  <si>
    <t>Deaths 1966-1967</t>
  </si>
  <si>
    <t>Deaths 1967-1968</t>
  </si>
  <si>
    <t>Deaths 1968-1969</t>
  </si>
  <si>
    <t>Deaths 1969-1970</t>
  </si>
  <si>
    <t>Deaths 1970-1971</t>
  </si>
  <si>
    <t>Deaths 1971-1972</t>
  </si>
  <si>
    <t>Deaths 1972-1973</t>
  </si>
  <si>
    <t>Deaths 1973-1974</t>
  </si>
  <si>
    <t>Deaths 1974-1975</t>
  </si>
  <si>
    <t>Deaths 1975-1976</t>
  </si>
  <si>
    <t>Deaths 1976-1977</t>
  </si>
  <si>
    <t>Deaths 1977-1978</t>
  </si>
  <si>
    <t>Deaths 1978-1979</t>
  </si>
  <si>
    <t>Deaths 1979-1980</t>
  </si>
  <si>
    <t>Deaths 1980-1981</t>
  </si>
  <si>
    <t>Deaths 1981-1982</t>
  </si>
  <si>
    <t>Deaths 1982-1983</t>
  </si>
  <si>
    <t>Deaths 1983-1984</t>
  </si>
  <si>
    <t>Deaths 1984-1985</t>
  </si>
  <si>
    <t>Deaths 1985-1986</t>
  </si>
  <si>
    <t>Deaths 1986-1987</t>
  </si>
  <si>
    <t>Deaths 1987-1988</t>
  </si>
  <si>
    <t>Deaths 1988-1989</t>
  </si>
  <si>
    <t>Deaths 1989-1990</t>
  </si>
  <si>
    <t>Deaths 1990-1991</t>
  </si>
  <si>
    <t>Deaths 1991-1992</t>
  </si>
  <si>
    <t>Deaths 1992-1993</t>
  </si>
  <si>
    <t>Deaths 1993-1994</t>
  </si>
  <si>
    <t>Deaths 1994-1995</t>
  </si>
  <si>
    <t>Deaths 1995-1996</t>
  </si>
  <si>
    <t>Deaths 1996-1997</t>
  </si>
  <si>
    <t>Deaths 1997-1998</t>
  </si>
  <si>
    <t>Deaths 1998-1999</t>
  </si>
  <si>
    <t>Deaths 1999-2000</t>
  </si>
  <si>
    <t>Deaths 2000-2001</t>
  </si>
  <si>
    <t>Deaths 2001-2002</t>
  </si>
  <si>
    <t>Deaths 2002-2003</t>
  </si>
  <si>
    <t>Deaths 2003-2004</t>
  </si>
  <si>
    <t>Deaths 2004-2005</t>
  </si>
  <si>
    <t>Deaths 2005-2006</t>
  </si>
  <si>
    <t>Deaths 2006-2007</t>
  </si>
  <si>
    <t>Deaths 2007-2008</t>
  </si>
  <si>
    <t>Deaths 2008-2009</t>
  </si>
  <si>
    <t>Deaths 2009-2010</t>
  </si>
  <si>
    <t>Deaths 2010-2011</t>
  </si>
  <si>
    <t>Deaths 2011-2012</t>
  </si>
  <si>
    <t>Deaths 2012-2013</t>
  </si>
  <si>
    <t>Residual Net Migration 1960-1961</t>
  </si>
  <si>
    <t>Residual Net Migration 1961-1962</t>
  </si>
  <si>
    <t>Residual Net Migration 1962-1963</t>
  </si>
  <si>
    <t>Residual Net Migration 1963-1964</t>
  </si>
  <si>
    <t>Residual Net Migration 1964-1965</t>
  </si>
  <si>
    <t>Residual Net Migration 1965-1966</t>
  </si>
  <si>
    <t>Residual Net Migration 1966-1967</t>
  </si>
  <si>
    <t>Residual Net Migration 1967-1968</t>
  </si>
  <si>
    <t>Residual Net Migration 1968-1969</t>
  </si>
  <si>
    <t>Residual Net Migration 1969-1970</t>
  </si>
  <si>
    <t>Residual Net Migration 1970-1971</t>
  </si>
  <si>
    <t>Residual Net Migration 1971-1972</t>
  </si>
  <si>
    <t>Residual Net Migration 1972-1973</t>
  </si>
  <si>
    <t>Residual Net Migration 1973-1974</t>
  </si>
  <si>
    <t>Residual Net Migration 1974-1975</t>
  </si>
  <si>
    <t>Residual Net Migration 1975-1976</t>
  </si>
  <si>
    <t>Residual Net Migration 1976-1977</t>
  </si>
  <si>
    <t>Residual Net Migration 1977-1978</t>
  </si>
  <si>
    <t>Residual Net Migration 1978-1979</t>
  </si>
  <si>
    <t>Residual Net Migration 1979-1980</t>
  </si>
  <si>
    <t>Residual Net Migration 1980-1981</t>
  </si>
  <si>
    <t>Residual Net Migration 1981-1982</t>
  </si>
  <si>
    <t>Residual Net Migration 1982-1983</t>
  </si>
  <si>
    <t>Residual Net Migration 1983-1984</t>
  </si>
  <si>
    <t>Residual Net Migration 1984-1985</t>
  </si>
  <si>
    <t>Residual Net Migration 1985-1986</t>
  </si>
  <si>
    <t>Residual Net Migration 1986-1987</t>
  </si>
  <si>
    <t>Residual Net Migration 1987-1988</t>
  </si>
  <si>
    <t>Residual Net Migration 1988-1989</t>
  </si>
  <si>
    <t>Residual Net Migration 1989-1990</t>
  </si>
  <si>
    <t>Residual Net Migration 1990-1991</t>
  </si>
  <si>
    <t>Residual Net Migration 1991-1992</t>
  </si>
  <si>
    <t>Residual Net Migration 1992-1993</t>
  </si>
  <si>
    <t>Residual Net Migration 1993-1994</t>
  </si>
  <si>
    <t>Residual Net Migration 1994-1995</t>
  </si>
  <si>
    <t>Residual Net Migration 1995-1996</t>
  </si>
  <si>
    <t>Residual Net Migration 1996-1997</t>
  </si>
  <si>
    <t>Residual Net Migration 1997-1998</t>
  </si>
  <si>
    <t>Residual Net Migration 1998-1999</t>
  </si>
  <si>
    <t>Residual Net Migration 1999-2000</t>
  </si>
  <si>
    <t>Residual Net Migration 2000-2001</t>
  </si>
  <si>
    <t>Residual Net Migration 2001-2002</t>
  </si>
  <si>
    <t>Residual Net Migration 2002-2003</t>
  </si>
  <si>
    <t>Residual Net Migration 2003-2004</t>
  </si>
  <si>
    <t>Residual Net Migration 2004-2005</t>
  </si>
  <si>
    <t>Residual Net Migration 2005-2006</t>
  </si>
  <si>
    <t>Residual Net Migration 2006-2007</t>
  </si>
  <si>
    <t>Residual Net Migration 2007-2008</t>
  </si>
  <si>
    <t>Residual Net Migration 2008-2009</t>
  </si>
  <si>
    <t>Residual Net Migration 2009-2010</t>
  </si>
  <si>
    <t>Residual Net Migration 2010-2011</t>
  </si>
  <si>
    <t>Residual Net Migration 2011-2012</t>
  </si>
  <si>
    <t>Residual Net Migration 2012-2013</t>
  </si>
  <si>
    <t>Annual Change in Total Population 2012-2013</t>
  </si>
  <si>
    <t>Population and Components of Change, Residual Net Migration, 1960 to Present</t>
  </si>
  <si>
    <t>Population and Components of Change, Deaths, 1960 to Present</t>
  </si>
  <si>
    <t>Population and Components of Change, Births, 1960 to Present</t>
  </si>
  <si>
    <t>Population and Components of Change, Total Population, 1960 to Present</t>
  </si>
  <si>
    <t>Population and Components of Change, Annual Change in Total Population, 1960 to Present</t>
  </si>
  <si>
    <t>Population and Components of Change, Annual Percent Change in Total Population, 1960 to Present</t>
  </si>
  <si>
    <t>Estimate of Total Population 1964</t>
  </si>
  <si>
    <t>Estimate of Total Population 1965</t>
  </si>
  <si>
    <t>Estimate of Total Population 1966</t>
  </si>
  <si>
    <t>Estimate of Total Population 1967</t>
  </si>
  <si>
    <t>Estimate of Total Population 1968</t>
  </si>
  <si>
    <t>Estimate of Total Population 1969</t>
  </si>
  <si>
    <t>Estimate of Total Population 1971</t>
  </si>
  <si>
    <t>Estimate of Total Population 1972</t>
  </si>
  <si>
    <t>Estimate of Total Population 1973</t>
  </si>
  <si>
    <t>Estimate of Total Population 1974</t>
  </si>
  <si>
    <t>Estimate of Total Population 1975</t>
  </si>
  <si>
    <t>Estimate of Total Population 1976</t>
  </si>
  <si>
    <t>Estimate of Total Population 1977</t>
  </si>
  <si>
    <t>Estimate of Total Population 1978</t>
  </si>
  <si>
    <t>Estimate of Total Population 1979</t>
  </si>
  <si>
    <t>Population and Components of Change, 1960 to Present</t>
  </si>
  <si>
    <t>Notes:</t>
  </si>
  <si>
    <t>Annual % Change in Total Population 1960-1961</t>
  </si>
  <si>
    <t>Annual % Change in Total Population 1961-1962</t>
  </si>
  <si>
    <t>Annual % Change in Total Population 1962-1963</t>
  </si>
  <si>
    <t>Annual % Change in Total Population 1963-1964</t>
  </si>
  <si>
    <t>Annual % Change in Total Population 1964-1965</t>
  </si>
  <si>
    <t>Annual % Change in Total Population 1965-1966</t>
  </si>
  <si>
    <t>Annual % Change in Total Population 1966-1967</t>
  </si>
  <si>
    <t>Annual % Change in Total Population 1967-1968</t>
  </si>
  <si>
    <t>Annual % Change in Total Population 1968-1969</t>
  </si>
  <si>
    <t>Annual % Change in Total Population 1969-1970</t>
  </si>
  <si>
    <t>Annual % Change in Total Population 1970-1971</t>
  </si>
  <si>
    <t>Annual % Change in Total Population 1971-1972</t>
  </si>
  <si>
    <t>Annual % Change in Total Population 1972-1973</t>
  </si>
  <si>
    <t>Annual % Change in Total Population 1973-1974</t>
  </si>
  <si>
    <t>Annual % Change in Total Population 1974-1975</t>
  </si>
  <si>
    <t>Annual % Change in Total Population 1975-1976</t>
  </si>
  <si>
    <t>Annual % Change in Total Population 1976-1977</t>
  </si>
  <si>
    <t>Annual % Change in Total Population 1977-1978</t>
  </si>
  <si>
    <t>Annual % Change in Total Population 1978-1979</t>
  </si>
  <si>
    <t>Annual % Change in Total Population 1979-1980</t>
  </si>
  <si>
    <t>Annual % Change in Total Population 1980-1981</t>
  </si>
  <si>
    <t>Annual % Change in Total Population 1981-1982</t>
  </si>
  <si>
    <t>Annual % Change in Total Population 1982-1983</t>
  </si>
  <si>
    <t>Annual % Change in Total Population 1983-1984</t>
  </si>
  <si>
    <t>Annual % Change in Total Population 1984-1985</t>
  </si>
  <si>
    <t>Annual % Change in Total Population 1985-1986</t>
  </si>
  <si>
    <t>Annual % Change in Total Population 1986-1987</t>
  </si>
  <si>
    <t>Annual % Change in Total Population 1987-1988</t>
  </si>
  <si>
    <t>Annual % Change in Total Population 1988-1989</t>
  </si>
  <si>
    <t>Annual % Change in Total Population 1989-1990</t>
  </si>
  <si>
    <t>Annual % Change in Total Population 1990-1991</t>
  </si>
  <si>
    <t>Annual % Change in Total Population 1991-1992</t>
  </si>
  <si>
    <t>Annual % Change in Total Population 1992-1993</t>
  </si>
  <si>
    <t>Annual % Change in Total Population 1993-1994</t>
  </si>
  <si>
    <t>Annual % Change in Total Population 1994-1995</t>
  </si>
  <si>
    <t>Annual % Change in Total Population 1995-1996</t>
  </si>
  <si>
    <t>Annual % Change in Total Population 1996-1997</t>
  </si>
  <si>
    <t>Annual % Change in Total Population 1997-1998</t>
  </si>
  <si>
    <t>Annual % Change in Total Population 1998-1999</t>
  </si>
  <si>
    <t>Annual % Change in Total Population 1999-2000</t>
  </si>
  <si>
    <t>Annual % Change in Total Population 2000-2001</t>
  </si>
  <si>
    <t>Annual % Change in Total Population 2001-2002</t>
  </si>
  <si>
    <t>Annual % Change in Total Population 2002-2003</t>
  </si>
  <si>
    <t>Annual % Change in Total Population 2003-2004</t>
  </si>
  <si>
    <t>Annual % Change in Total Population 2004-2005</t>
  </si>
  <si>
    <t>Annual % Change in Total Population 2005-2006</t>
  </si>
  <si>
    <t>Annual % Change in Total Population 2006-2007</t>
  </si>
  <si>
    <t>Annual % Change in Total Population 2007-2008</t>
  </si>
  <si>
    <t>Annual % Change in Total Population 2008-2009</t>
  </si>
  <si>
    <t>Annual % Change in Total Population 2009-2010</t>
  </si>
  <si>
    <t>Annual % Change in Total Population 2010-2011</t>
  </si>
  <si>
    <t>Annual % Change in Total Population 2011-2012</t>
  </si>
  <si>
    <t>Annual % Change in Total Population 2012-2013</t>
  </si>
  <si>
    <t>Annual Change in Total Population 2013-2014</t>
  </si>
  <si>
    <t>Annual % Change in Total Population 2013-2014</t>
  </si>
  <si>
    <t>Deaths 2013-2014</t>
  </si>
  <si>
    <t>Residual Net Migration 2013-2014</t>
  </si>
  <si>
    <t>Annual Change in Total Population 2014-2015</t>
  </si>
  <si>
    <t>Annual % Change in Total Population 2014-2015</t>
  </si>
  <si>
    <t>Deaths 2014-2015</t>
  </si>
  <si>
    <t>Residual Net Migration 2014-2015</t>
  </si>
  <si>
    <t>Office of Financial Management, Forecasting and Research Division</t>
  </si>
  <si>
    <t>Annual Change in Total Population 2015-2016</t>
  </si>
  <si>
    <t>Annual % Change in Total Population 2015-2016</t>
  </si>
  <si>
    <t>Deaths 2015-2016</t>
  </si>
  <si>
    <t>Residual Net Migration 2015-2016</t>
  </si>
  <si>
    <t>Spacer</t>
  </si>
  <si>
    <t>Annual Change in Total Population 2016-2017</t>
  </si>
  <si>
    <t>Annual % Change in Total Population 2016-2017</t>
  </si>
  <si>
    <t>Births 1995-1996</t>
  </si>
  <si>
    <t>Births1960-1961</t>
  </si>
  <si>
    <t>Births 1961-1962</t>
  </si>
  <si>
    <t>Births 1962-1963</t>
  </si>
  <si>
    <t>Births 1963-1964</t>
  </si>
  <si>
    <t>Births 1964-1965</t>
  </si>
  <si>
    <t>Births 1965-1966</t>
  </si>
  <si>
    <t>Births 1966-1967</t>
  </si>
  <si>
    <t>Births 1967-1968</t>
  </si>
  <si>
    <t>Births 1968-1969</t>
  </si>
  <si>
    <t>Births 1969-1970</t>
  </si>
  <si>
    <t>Births 1970-1971</t>
  </si>
  <si>
    <t>Births 1971-1972</t>
  </si>
  <si>
    <t>Births 1972-1973</t>
  </si>
  <si>
    <t>Births 1973-1974</t>
  </si>
  <si>
    <t>Births 1974-1975</t>
  </si>
  <si>
    <t>Births 1975-1976</t>
  </si>
  <si>
    <t>Births 1976-1977</t>
  </si>
  <si>
    <t>Births 1977-1978</t>
  </si>
  <si>
    <t>Births 1978-1979</t>
  </si>
  <si>
    <t>Births 1979-1980</t>
  </si>
  <si>
    <t>Births 1980-1981</t>
  </si>
  <si>
    <t>Births 1981-1982</t>
  </si>
  <si>
    <t>Births 1982-1983</t>
  </si>
  <si>
    <t>Births 1983-1984</t>
  </si>
  <si>
    <t>Births 1984-1985</t>
  </si>
  <si>
    <t>Births 1985-1986</t>
  </si>
  <si>
    <t>Births 1986-1987</t>
  </si>
  <si>
    <t>Births 1987-1988</t>
  </si>
  <si>
    <t>Births 1988-1989</t>
  </si>
  <si>
    <t>Births 1989-1990</t>
  </si>
  <si>
    <t>Births 1990-1991</t>
  </si>
  <si>
    <t>Births 1991-1992</t>
  </si>
  <si>
    <t>Births 1992-1993</t>
  </si>
  <si>
    <t>Births 1993-1994</t>
  </si>
  <si>
    <t>Births 1994-1995</t>
  </si>
  <si>
    <t>Births 1996-1997</t>
  </si>
  <si>
    <t>Births 1997-1998</t>
  </si>
  <si>
    <t>Births 1998-1999</t>
  </si>
  <si>
    <t>Births 1999-2000</t>
  </si>
  <si>
    <t>Births 2000-2001</t>
  </si>
  <si>
    <t>Births 2001-2002</t>
  </si>
  <si>
    <t>Births 2002-2003</t>
  </si>
  <si>
    <t>Births 2003-2004</t>
  </si>
  <si>
    <t>Births 2004-2005</t>
  </si>
  <si>
    <t>Births 2005-2006</t>
  </si>
  <si>
    <t>Births 2006-2007</t>
  </si>
  <si>
    <t>Births 2007-2008</t>
  </si>
  <si>
    <t>Births 2008-2009</t>
  </si>
  <si>
    <t>Births 2009-2010</t>
  </si>
  <si>
    <t>Births 2010-2011</t>
  </si>
  <si>
    <t>Births 2011-2012</t>
  </si>
  <si>
    <t>Births 2012-2013</t>
  </si>
  <si>
    <t>Births 2013-2014</t>
  </si>
  <si>
    <t>Births 2014-2015</t>
  </si>
  <si>
    <t>Births 2015-2016</t>
  </si>
  <si>
    <t>Births 2016-2017</t>
  </si>
  <si>
    <t>Deaths 2016-2017</t>
  </si>
  <si>
    <t>Census Count of Total Population 1960</t>
  </si>
  <si>
    <t>Census Count of Total Population 1970</t>
  </si>
  <si>
    <t>Census Count of Total Population 1980</t>
  </si>
  <si>
    <t>Census Count of Total Population 1990</t>
  </si>
  <si>
    <t>Census Count of Total Population 2000</t>
  </si>
  <si>
    <t>Census Count of Total Population 2010</t>
  </si>
  <si>
    <t>Residual Net Migration 2016-2017</t>
  </si>
  <si>
    <t>Annual Change in Total Population 2017-2018</t>
  </si>
  <si>
    <t>Annual % Change in Total Population 2017-2018</t>
  </si>
  <si>
    <t>Births 2017-2018</t>
  </si>
  <si>
    <t>Deaths 2017-2018</t>
  </si>
  <si>
    <t>Residual Net Migration 2017-2018</t>
  </si>
  <si>
    <t>Annual Change in Total Population 2018-2019</t>
  </si>
  <si>
    <t>Annual % Change in Total Population 2018-2019</t>
  </si>
  <si>
    <t>Births 2018-2019</t>
  </si>
  <si>
    <t>Deaths 2018-2019</t>
  </si>
  <si>
    <t>Residual Net Migration 2018-2019</t>
  </si>
  <si>
    <t>Annual Change in Total Population 2019-2020</t>
  </si>
  <si>
    <t>Annual % Change in Total Population 2019-2020</t>
  </si>
  <si>
    <t>Births 2019-2020</t>
  </si>
  <si>
    <t>Deaths 2019-2020</t>
  </si>
  <si>
    <t>Residual Net Migration 2019-2020</t>
  </si>
  <si>
    <t>Census Count of Total Population 2020</t>
  </si>
  <si>
    <t>Residual net migration is calculated as population change minus the amount of natural increase.</t>
  </si>
  <si>
    <t>Births and deaths are estimated for the most recent years due to a lag in reporting. The historical series may be revised in cases where more accurate data becomes available.</t>
  </si>
  <si>
    <t>Migration trends may not be reliable for smaller counties or counties with characteristics that make them difficult to estimate accurately. Erratic gains and losses are often apparent. Using a three year rolling average might stabilize migration estimates for smaller counties and those showing erratic trends.</t>
  </si>
  <si>
    <t>Data sources: Office of Financial Management April 1 population estimates, U.S. Census Bureau decennial census counts, and vital statistics from the Washington State Department of Health.</t>
  </si>
  <si>
    <t>Intercensal Estimate of Total Population 2011</t>
  </si>
  <si>
    <t>Intercensal Estimate of Total Population 2012</t>
  </si>
  <si>
    <t>Intercensal Estimate of Total Population 2013</t>
  </si>
  <si>
    <t>Intercensal Estimate of Total Population 2014</t>
  </si>
  <si>
    <t>Intercensal Estimate of Total Population 2015</t>
  </si>
  <si>
    <t>Intercensal Estimate of Total Population 2016</t>
  </si>
  <si>
    <t>Intercensal Estimate of Total Population 2017</t>
  </si>
  <si>
    <t>Intercensal Estimate of Total Population 2018</t>
  </si>
  <si>
    <t>Intercensal Estimate of Total Population 2019</t>
  </si>
  <si>
    <t>Intercensal population estimates were used for 2011-2019 starting on February 10, 2022 after they became available.</t>
  </si>
  <si>
    <t>Postcensal Estimate of Total Population 2022</t>
  </si>
  <si>
    <t>Annual Change in Total Population 2021-2022</t>
  </si>
  <si>
    <r>
      <t>Pierce County</t>
    </r>
    <r>
      <rPr>
        <sz val="8"/>
        <rFont val="Calibri"/>
        <family val="2"/>
      </rPr>
      <t>²</t>
    </r>
  </si>
  <si>
    <t>Annual % Change in Total Population 2021-2022</t>
  </si>
  <si>
    <t>Births 2021-2022</t>
  </si>
  <si>
    <t>Deaths 2021-2022</t>
  </si>
  <si>
    <t>Residual Net Migration 2021-2022</t>
  </si>
  <si>
    <t>Postcensal Estimate of Total Population 2023</t>
  </si>
  <si>
    <t>Annual Change in Total Population 2022-2023</t>
  </si>
  <si>
    <t>Annual % Change in Total Population 2022-2023</t>
  </si>
  <si>
    <t>Births 2020-2021</t>
  </si>
  <si>
    <t>Births 2022-2023</t>
  </si>
  <si>
    <t>Deaths 2020-2021</t>
  </si>
  <si>
    <t>Deaths 2022-2023</t>
  </si>
  <si>
    <t>Residual Net Migration 2022-2023</t>
  </si>
  <si>
    <t>Population and Components of Change, Natural Change, 1960 to Present</t>
  </si>
  <si>
    <t>Natural Change 1960-1961</t>
  </si>
  <si>
    <t>Natural Change 1961-1962</t>
  </si>
  <si>
    <t>Natural Change 1962-1963</t>
  </si>
  <si>
    <t>Natural Change 1963-1964</t>
  </si>
  <si>
    <t>Natural Change 1964-1965</t>
  </si>
  <si>
    <t>Natural Change 1965-1966</t>
  </si>
  <si>
    <t>Natural Change 1966-1967</t>
  </si>
  <si>
    <t>Natural Change 1967-1968</t>
  </si>
  <si>
    <t>Natural Change 1968-1969</t>
  </si>
  <si>
    <t>Natural Change 1969-1970</t>
  </si>
  <si>
    <t>Natural Change 1970-1971</t>
  </si>
  <si>
    <t>Natural Change 1971-1972</t>
  </si>
  <si>
    <t>Natural Change 1972-1973</t>
  </si>
  <si>
    <t>Natural Change 1973-1974</t>
  </si>
  <si>
    <t>Natural Change 1974-1975</t>
  </si>
  <si>
    <t>Natural Change 1975-1976</t>
  </si>
  <si>
    <t>Natural Change 1976-1977</t>
  </si>
  <si>
    <t>Natural Change 1977-1978</t>
  </si>
  <si>
    <t>Natural Change 1978-1979</t>
  </si>
  <si>
    <t>Natural Change 1979-1980</t>
  </si>
  <si>
    <t>Natural Change 1980-1981</t>
  </si>
  <si>
    <t>Natural Change 1981-1982</t>
  </si>
  <si>
    <t>Natural Change 1982-1983</t>
  </si>
  <si>
    <t>Natural Change 1983-1984</t>
  </si>
  <si>
    <t>Natural Change 1984-1985</t>
  </si>
  <si>
    <t>Natural Change 1985-1986</t>
  </si>
  <si>
    <t>Natural Change 1986-1987</t>
  </si>
  <si>
    <t>Natural Change 1987-1988</t>
  </si>
  <si>
    <t>Natural Change 1988-1989</t>
  </si>
  <si>
    <t>Natural Change 1989-1990</t>
  </si>
  <si>
    <t>Natural Change 1990-1991</t>
  </si>
  <si>
    <t>Natural Change 1991-1992</t>
  </si>
  <si>
    <t>Natural Change 1992-1993</t>
  </si>
  <si>
    <t>Natural Change 1993-1994</t>
  </si>
  <si>
    <t>Natural Change 1994-1995</t>
  </si>
  <si>
    <t>Natural Change 1995-1996</t>
  </si>
  <si>
    <t>Natural Change 1996-1997</t>
  </si>
  <si>
    <t>Natural Change 1997-1998</t>
  </si>
  <si>
    <t>Natural Change 1998-1999</t>
  </si>
  <si>
    <t>Natural Change 1999-2000</t>
  </si>
  <si>
    <t>Natural Change 2000-2001</t>
  </si>
  <si>
    <t>Natural Change 2001-2002</t>
  </si>
  <si>
    <t>Natural Change 2002-2003</t>
  </si>
  <si>
    <t>Natural Change 2003-2004</t>
  </si>
  <si>
    <t>Natural Change 2004-2005</t>
  </si>
  <si>
    <t>Natural Change 2005-2006</t>
  </si>
  <si>
    <t>Natural Change 2006-2007</t>
  </si>
  <si>
    <t>Natural Change 2007-2008</t>
  </si>
  <si>
    <t>Natural Change 2008-2009</t>
  </si>
  <si>
    <t>Natural Change 2009-2010</t>
  </si>
  <si>
    <t>Natural Change 2010-2011</t>
  </si>
  <si>
    <t>Natural Change 2011-2012</t>
  </si>
  <si>
    <t>Natural Change 2012-2013</t>
  </si>
  <si>
    <t>Natural Change 2013-2014</t>
  </si>
  <si>
    <t>Natural Change 2014-2015</t>
  </si>
  <si>
    <t>Natural Change 2015-2016</t>
  </si>
  <si>
    <t>Natural Change 2016-2017</t>
  </si>
  <si>
    <t>Natural Change 2017-2018</t>
  </si>
  <si>
    <t>Natural Change 2018-2019</t>
  </si>
  <si>
    <t>Natural Change 2019-2020</t>
  </si>
  <si>
    <t>Natural Change 2020-2021</t>
  </si>
  <si>
    <t>Natural Change 2021-2022</t>
  </si>
  <si>
    <t>Natural Change 2022-2023</t>
  </si>
  <si>
    <t>Natural change is the difference between the number of live births and the number of deaths.</t>
  </si>
  <si>
    <r>
      <rPr>
        <vertAlign val="superscript"/>
        <sz val="9"/>
        <color rgb="FF000000"/>
        <rFont val="Arial"/>
        <family val="2"/>
      </rPr>
      <t>1</t>
    </r>
    <r>
      <rPr>
        <sz val="9"/>
        <color indexed="8"/>
        <rFont val="Arial"/>
        <family val="2"/>
      </rPr>
      <t>The 2021 estimates in this table were revised November 30, 2021 after the 2020 Census P.L. 94-171 became available. These 2021 estimates supersede the estimates OFM released on June 30, 2021.</t>
    </r>
  </si>
  <si>
    <t>Postcensal Estimate of Total Population 2021¹</t>
  </si>
  <si>
    <t>Annual Change in Total Population 2020-2021¹</t>
  </si>
  <si>
    <t>Annual % Change in Total Population 2020-2021¹</t>
  </si>
  <si>
    <t>Residual Net Migration 2020-2021¹</t>
  </si>
  <si>
    <t>Postcensal Estimate of Total Population 2024</t>
  </si>
  <si>
    <t>Annual Change in Total Population 2023-2024</t>
  </si>
  <si>
    <t>Annual % Change in Total Population 2023-2024</t>
  </si>
  <si>
    <t>Births 2023-2024</t>
  </si>
  <si>
    <t>Deaths 2023-2024</t>
  </si>
  <si>
    <t>Natural Change 2023-2024</t>
  </si>
  <si>
    <t>Residual Net Migration 2023-2024</t>
  </si>
  <si>
    <t>Postcensal Estimate of Total Population 2025</t>
  </si>
  <si>
    <t>Annual Change in Total Population 2024-2025</t>
  </si>
  <si>
    <t>Annual % Change in Total Population 2024-2025</t>
  </si>
  <si>
    <t>Births 2024-2025</t>
  </si>
  <si>
    <t>Deaths 2024-2025</t>
  </si>
  <si>
    <t>Natural Change 2024-2025</t>
  </si>
  <si>
    <t>Residual Net Migration 2024-2025</t>
  </si>
  <si>
    <t>Last modified: 6/29/2026</t>
  </si>
  <si>
    <t>Postcensal Estimate of Total Population 2026</t>
  </si>
  <si>
    <t>Annual Change in Total Population 2025-2026</t>
  </si>
  <si>
    <t>Annual % Change in Total Population 2025-2026</t>
  </si>
  <si>
    <t>Births 2025-2026</t>
  </si>
  <si>
    <t>Deaths 2025-2026</t>
  </si>
  <si>
    <t>Natural Change 2025-2026</t>
  </si>
  <si>
    <t>Residual Net Migration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</si>
</sst>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name val="MS Sans Serif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vertAlign val="superscript"/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auto="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auto="1"/>
      </right>
      <top style="thin">
        <color theme="0" tint="-0.1499679555650502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3" fillId="0" borderId="0"/>
    <xf numFmtId="43" fontId="18" fillId="0" borderId="0" applyFont="0" applyFill="0" applyBorder="0" applyAlignment="0" applyProtection="0"/>
    <xf numFmtId="0" fontId="24" fillId="0" borderId="0"/>
    <xf numFmtId="0" fontId="25" fillId="0" borderId="0"/>
    <xf numFmtId="43" fontId="25" fillId="0" borderId="0" applyFont="0" applyFill="0" applyBorder="0" applyAlignment="0" applyProtection="0"/>
    <xf numFmtId="0" fontId="26" fillId="0" borderId="0"/>
    <xf numFmtId="0" fontId="24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8" fillId="0" borderId="0"/>
    <xf numFmtId="0" fontId="24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</cellStyleXfs>
  <cellXfs count="135">
    <xf numFmtId="0" fontId="0" fillId="0" borderId="0" xfId="0"/>
    <xf numFmtId="0" fontId="19" fillId="0" borderId="0" xfId="0" applyFont="1"/>
    <xf numFmtId="0" fontId="23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3" fontId="21" fillId="0" borderId="0" xfId="0" applyNumberFormat="1" applyFont="1" applyAlignment="1">
      <alignment horizontal="right"/>
    </xf>
    <xf numFmtId="3" fontId="21" fillId="0" borderId="0" xfId="0" applyNumberFormat="1" applyFont="1"/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37" fontId="22" fillId="0" borderId="0" xfId="0" applyNumberFormat="1" applyFont="1"/>
    <xf numFmtId="0" fontId="20" fillId="0" borderId="0" xfId="43" applyFont="1"/>
    <xf numFmtId="0" fontId="19" fillId="0" borderId="0" xfId="42" applyFont="1"/>
    <xf numFmtId="0" fontId="19" fillId="0" borderId="0" xfId="46" applyFont="1" applyAlignment="1">
      <alignment wrapText="1"/>
    </xf>
    <xf numFmtId="0" fontId="19" fillId="0" borderId="0" xfId="42" applyFont="1" applyAlignment="1">
      <alignment wrapText="1"/>
    </xf>
    <xf numFmtId="3" fontId="22" fillId="0" borderId="0" xfId="0" applyNumberFormat="1" applyFont="1"/>
    <xf numFmtId="2" fontId="21" fillId="0" borderId="0" xfId="0" applyNumberFormat="1" applyFont="1"/>
    <xf numFmtId="0" fontId="21" fillId="0" borderId="11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4" xfId="0" applyFont="1" applyBorder="1" applyAlignment="1">
      <alignment horizontal="left" vertical="top" wrapText="1"/>
    </xf>
    <xf numFmtId="0" fontId="21" fillId="0" borderId="15" xfId="0" applyFont="1" applyBorder="1" applyAlignment="1">
      <alignment horizontal="left" vertical="top" wrapText="1"/>
    </xf>
    <xf numFmtId="0" fontId="21" fillId="0" borderId="17" xfId="0" applyFont="1" applyBorder="1" applyAlignment="1">
      <alignment vertical="top" wrapText="1"/>
    </xf>
    <xf numFmtId="0" fontId="21" fillId="0" borderId="18" xfId="0" applyFont="1" applyBorder="1" applyAlignment="1">
      <alignment vertical="top" wrapText="1"/>
    </xf>
    <xf numFmtId="3" fontId="21" fillId="0" borderId="19" xfId="0" applyNumberFormat="1" applyFont="1" applyBorder="1" applyAlignment="1">
      <alignment horizontal="right" wrapText="1"/>
    </xf>
    <xf numFmtId="3" fontId="21" fillId="0" borderId="20" xfId="0" applyNumberFormat="1" applyFont="1" applyBorder="1" applyAlignment="1">
      <alignment horizontal="right"/>
    </xf>
    <xf numFmtId="3" fontId="21" fillId="0" borderId="21" xfId="0" applyNumberFormat="1" applyFont="1" applyBorder="1" applyAlignment="1">
      <alignment horizontal="right"/>
    </xf>
    <xf numFmtId="3" fontId="21" fillId="0" borderId="10" xfId="0" applyNumberFormat="1" applyFont="1" applyBorder="1" applyAlignment="1">
      <alignment horizontal="right" wrapText="1"/>
    </xf>
    <xf numFmtId="3" fontId="21" fillId="0" borderId="11" xfId="0" applyNumberFormat="1" applyFont="1" applyBorder="1" applyAlignment="1">
      <alignment horizontal="right" wrapText="1"/>
    </xf>
    <xf numFmtId="3" fontId="21" fillId="0" borderId="12" xfId="0" applyNumberFormat="1" applyFont="1" applyBorder="1" applyAlignment="1">
      <alignment horizontal="right" wrapText="1"/>
    </xf>
    <xf numFmtId="3" fontId="21" fillId="0" borderId="13" xfId="0" applyNumberFormat="1" applyFont="1" applyBorder="1"/>
    <xf numFmtId="3" fontId="21" fillId="0" borderId="14" xfId="0" applyNumberFormat="1" applyFont="1" applyBorder="1"/>
    <xf numFmtId="3" fontId="21" fillId="0" borderId="15" xfId="0" applyNumberFormat="1" applyFont="1" applyBorder="1"/>
    <xf numFmtId="3" fontId="21" fillId="0" borderId="16" xfId="0" applyNumberFormat="1" applyFont="1" applyBorder="1"/>
    <xf numFmtId="3" fontId="21" fillId="0" borderId="17" xfId="0" applyNumberFormat="1" applyFont="1" applyBorder="1"/>
    <xf numFmtId="3" fontId="21" fillId="0" borderId="18" xfId="0" applyNumberFormat="1" applyFont="1" applyBorder="1"/>
    <xf numFmtId="3" fontId="21" fillId="0" borderId="22" xfId="0" applyNumberFormat="1" applyFont="1" applyBorder="1" applyAlignment="1">
      <alignment horizontal="right" wrapText="1"/>
    </xf>
    <xf numFmtId="3" fontId="21" fillId="0" borderId="25" xfId="0" applyNumberFormat="1" applyFont="1" applyBorder="1" applyAlignment="1">
      <alignment horizontal="right" wrapText="1"/>
    </xf>
    <xf numFmtId="4" fontId="21" fillId="0" borderId="13" xfId="0" applyNumberFormat="1" applyFont="1" applyBorder="1"/>
    <xf numFmtId="4" fontId="21" fillId="0" borderId="14" xfId="0" applyNumberFormat="1" applyFont="1" applyBorder="1"/>
    <xf numFmtId="4" fontId="21" fillId="0" borderId="26" xfId="0" applyNumberFormat="1" applyFont="1" applyBorder="1"/>
    <xf numFmtId="4" fontId="21" fillId="0" borderId="16" xfId="0" applyNumberFormat="1" applyFont="1" applyBorder="1"/>
    <xf numFmtId="4" fontId="21" fillId="0" borderId="17" xfId="0" applyNumberFormat="1" applyFont="1" applyBorder="1"/>
    <xf numFmtId="4" fontId="21" fillId="0" borderId="27" xfId="0" applyNumberFormat="1" applyFont="1" applyBorder="1"/>
    <xf numFmtId="3" fontId="21" fillId="0" borderId="28" xfId="0" applyNumberFormat="1" applyFont="1" applyBorder="1" applyAlignment="1">
      <alignment horizontal="right" wrapText="1"/>
    </xf>
    <xf numFmtId="4" fontId="21" fillId="0" borderId="23" xfId="0" applyNumberFormat="1" applyFont="1" applyBorder="1"/>
    <xf numFmtId="4" fontId="21" fillId="0" borderId="29" xfId="0" applyNumberFormat="1" applyFont="1" applyBorder="1"/>
    <xf numFmtId="4" fontId="21" fillId="0" borderId="24" xfId="0" applyNumberFormat="1" applyFont="1" applyBorder="1"/>
    <xf numFmtId="4" fontId="21" fillId="0" borderId="30" xfId="0" applyNumberFormat="1" applyFont="1" applyBorder="1"/>
    <xf numFmtId="3" fontId="21" fillId="0" borderId="31" xfId="0" applyNumberFormat="1" applyFont="1" applyBorder="1" applyAlignment="1">
      <alignment horizontal="right" wrapText="1"/>
    </xf>
    <xf numFmtId="4" fontId="21" fillId="0" borderId="32" xfId="0" applyNumberFormat="1" applyFont="1" applyBorder="1"/>
    <xf numFmtId="4" fontId="21" fillId="0" borderId="33" xfId="0" applyNumberFormat="1" applyFont="1" applyBorder="1"/>
    <xf numFmtId="4" fontId="21" fillId="0" borderId="15" xfId="0" applyNumberFormat="1" applyFont="1" applyBorder="1"/>
    <xf numFmtId="4" fontId="21" fillId="0" borderId="18" xfId="0" applyNumberFormat="1" applyFont="1" applyBorder="1"/>
    <xf numFmtId="3" fontId="21" fillId="0" borderId="20" xfId="48" applyNumberFormat="1" applyFont="1" applyBorder="1"/>
    <xf numFmtId="3" fontId="21" fillId="0" borderId="21" xfId="48" applyNumberFormat="1" applyFont="1" applyBorder="1"/>
    <xf numFmtId="3" fontId="21" fillId="0" borderId="13" xfId="48" applyNumberFormat="1" applyFont="1" applyBorder="1"/>
    <xf numFmtId="3" fontId="21" fillId="0" borderId="14" xfId="48" applyNumberFormat="1" applyFont="1" applyBorder="1"/>
    <xf numFmtId="3" fontId="21" fillId="0" borderId="15" xfId="48" applyNumberFormat="1" applyFont="1" applyBorder="1"/>
    <xf numFmtId="3" fontId="21" fillId="0" borderId="16" xfId="48" applyNumberFormat="1" applyFont="1" applyBorder="1"/>
    <xf numFmtId="3" fontId="21" fillId="0" borderId="17" xfId="48" applyNumberFormat="1" applyFont="1" applyBorder="1"/>
    <xf numFmtId="3" fontId="21" fillId="0" borderId="18" xfId="48" applyNumberFormat="1" applyFont="1" applyBorder="1"/>
    <xf numFmtId="3" fontId="21" fillId="0" borderId="13" xfId="50" applyNumberFormat="1" applyFont="1" applyFill="1" applyBorder="1" applyAlignment="1">
      <alignment horizontal="right"/>
    </xf>
    <xf numFmtId="3" fontId="21" fillId="0" borderId="13" xfId="50" applyNumberFormat="1" applyFont="1" applyFill="1" applyBorder="1"/>
    <xf numFmtId="3" fontId="21" fillId="0" borderId="26" xfId="48" applyNumberFormat="1" applyFont="1" applyBorder="1"/>
    <xf numFmtId="3" fontId="21" fillId="0" borderId="27" xfId="48" applyNumberFormat="1" applyFont="1" applyBorder="1"/>
    <xf numFmtId="3" fontId="21" fillId="0" borderId="34" xfId="0" applyNumberFormat="1" applyFont="1" applyBorder="1" applyAlignment="1">
      <alignment horizontal="right" wrapText="1"/>
    </xf>
    <xf numFmtId="3" fontId="21" fillId="0" borderId="26" xfId="0" applyNumberFormat="1" applyFont="1" applyBorder="1"/>
    <xf numFmtId="3" fontId="21" fillId="0" borderId="27" xfId="0" applyNumberFormat="1" applyFont="1" applyBorder="1"/>
    <xf numFmtId="4" fontId="21" fillId="0" borderId="35" xfId="0" applyNumberFormat="1" applyFont="1" applyBorder="1"/>
    <xf numFmtId="4" fontId="21" fillId="0" borderId="36" xfId="0" applyNumberFormat="1" applyFont="1" applyBorder="1"/>
    <xf numFmtId="3" fontId="28" fillId="0" borderId="0" xfId="0" applyNumberFormat="1" applyFont="1"/>
    <xf numFmtId="3" fontId="21" fillId="0" borderId="37" xfId="0" applyNumberFormat="1" applyFont="1" applyBorder="1" applyAlignment="1">
      <alignment horizontal="right" wrapText="1"/>
    </xf>
    <xf numFmtId="4" fontId="21" fillId="0" borderId="0" xfId="0" applyNumberFormat="1" applyFont="1" applyAlignment="1">
      <alignment horizontal="right"/>
    </xf>
    <xf numFmtId="2" fontId="22" fillId="0" borderId="0" xfId="0" applyNumberFormat="1" applyFont="1"/>
    <xf numFmtId="2" fontId="21" fillId="0" borderId="10" xfId="0" applyNumberFormat="1" applyFont="1" applyBorder="1" applyAlignment="1">
      <alignment horizontal="right" wrapText="1"/>
    </xf>
    <xf numFmtId="2" fontId="21" fillId="0" borderId="11" xfId="0" applyNumberFormat="1" applyFont="1" applyBorder="1" applyAlignment="1">
      <alignment horizontal="right" wrapText="1"/>
    </xf>
    <xf numFmtId="2" fontId="21" fillId="0" borderId="25" xfId="0" applyNumberFormat="1" applyFont="1" applyBorder="1" applyAlignment="1">
      <alignment horizontal="right" wrapText="1"/>
    </xf>
    <xf numFmtId="2" fontId="21" fillId="0" borderId="37" xfId="0" applyNumberFormat="1" applyFont="1" applyBorder="1" applyAlignment="1">
      <alignment horizontal="right" wrapText="1"/>
    </xf>
    <xf numFmtId="2" fontId="21" fillId="0" borderId="13" xfId="0" applyNumberFormat="1" applyFont="1" applyBorder="1"/>
    <xf numFmtId="2" fontId="21" fillId="0" borderId="14" xfId="0" applyNumberFormat="1" applyFont="1" applyBorder="1"/>
    <xf numFmtId="2" fontId="21" fillId="0" borderId="26" xfId="0" applyNumberFormat="1" applyFont="1" applyBorder="1"/>
    <xf numFmtId="2" fontId="21" fillId="0" borderId="38" xfId="0" applyNumberFormat="1" applyFont="1" applyBorder="1"/>
    <xf numFmtId="2" fontId="21" fillId="0" borderId="16" xfId="0" applyNumberFormat="1" applyFont="1" applyBorder="1"/>
    <xf numFmtId="2" fontId="21" fillId="0" borderId="17" xfId="0" applyNumberFormat="1" applyFont="1" applyBorder="1"/>
    <xf numFmtId="2" fontId="21" fillId="0" borderId="27" xfId="0" applyNumberFormat="1" applyFont="1" applyBorder="1"/>
    <xf numFmtId="2" fontId="21" fillId="0" borderId="39" xfId="0" applyNumberFormat="1" applyFont="1" applyBorder="1"/>
    <xf numFmtId="3" fontId="21" fillId="0" borderId="40" xfId="0" applyNumberFormat="1" applyFont="1" applyBorder="1"/>
    <xf numFmtId="3" fontId="21" fillId="0" borderId="38" xfId="0" applyNumberFormat="1" applyFont="1" applyBorder="1"/>
    <xf numFmtId="3" fontId="21" fillId="0" borderId="35" xfId="0" applyNumberFormat="1" applyFont="1" applyBorder="1"/>
    <xf numFmtId="3" fontId="21" fillId="0" borderId="41" xfId="0" applyNumberFormat="1" applyFont="1" applyBorder="1"/>
    <xf numFmtId="3" fontId="21" fillId="0" borderId="39" xfId="0" applyNumberFormat="1" applyFont="1" applyBorder="1"/>
    <xf numFmtId="3" fontId="21" fillId="0" borderId="36" xfId="0" applyNumberFormat="1" applyFont="1" applyBorder="1"/>
    <xf numFmtId="3" fontId="21" fillId="0" borderId="13" xfId="66" applyNumberFormat="1" applyFont="1" applyBorder="1"/>
    <xf numFmtId="3" fontId="21" fillId="0" borderId="14" xfId="66" applyNumberFormat="1" applyFont="1" applyBorder="1"/>
    <xf numFmtId="3" fontId="21" fillId="0" borderId="16" xfId="101" applyNumberFormat="1" applyFont="1" applyBorder="1"/>
    <xf numFmtId="3" fontId="21" fillId="0" borderId="17" xfId="101" applyNumberFormat="1" applyFont="1" applyBorder="1"/>
    <xf numFmtId="3" fontId="21" fillId="0" borderId="42" xfId="0" applyNumberFormat="1" applyFont="1" applyBorder="1" applyAlignment="1">
      <alignment horizontal="right" wrapText="1"/>
    </xf>
    <xf numFmtId="3" fontId="21" fillId="0" borderId="43" xfId="0" applyNumberFormat="1" applyFont="1" applyBorder="1"/>
    <xf numFmtId="3" fontId="21" fillId="0" borderId="44" xfId="0" applyNumberFormat="1" applyFont="1" applyBorder="1"/>
    <xf numFmtId="3" fontId="21" fillId="0" borderId="45" xfId="0" applyNumberFormat="1" applyFont="1" applyBorder="1"/>
    <xf numFmtId="3" fontId="21" fillId="0" borderId="46" xfId="0" applyNumberFormat="1" applyFont="1" applyBorder="1"/>
    <xf numFmtId="3" fontId="21" fillId="0" borderId="47" xfId="0" applyNumberFormat="1" applyFont="1" applyBorder="1"/>
    <xf numFmtId="3" fontId="21" fillId="0" borderId="48" xfId="0" applyNumberFormat="1" applyFont="1" applyBorder="1"/>
    <xf numFmtId="3" fontId="21" fillId="0" borderId="38" xfId="48" applyNumberFormat="1" applyFont="1" applyBorder="1"/>
    <xf numFmtId="3" fontId="21" fillId="0" borderId="39" xfId="48" applyNumberFormat="1" applyFont="1" applyBorder="1"/>
    <xf numFmtId="2" fontId="21" fillId="0" borderId="34" xfId="0" applyNumberFormat="1" applyFont="1" applyBorder="1" applyAlignment="1">
      <alignment horizontal="right" wrapText="1"/>
    </xf>
    <xf numFmtId="2" fontId="21" fillId="0" borderId="35" xfId="0" applyNumberFormat="1" applyFont="1" applyBorder="1"/>
    <xf numFmtId="2" fontId="21" fillId="0" borderId="36" xfId="0" applyNumberFormat="1" applyFont="1" applyBorder="1"/>
    <xf numFmtId="3" fontId="21" fillId="0" borderId="35" xfId="48" applyNumberFormat="1" applyFont="1" applyBorder="1"/>
    <xf numFmtId="3" fontId="21" fillId="0" borderId="36" xfId="48" applyNumberFormat="1" applyFont="1" applyBorder="1"/>
    <xf numFmtId="0" fontId="29" fillId="0" borderId="0" xfId="0" applyFont="1"/>
    <xf numFmtId="0" fontId="14" fillId="0" borderId="0" xfId="0" applyFont="1"/>
    <xf numFmtId="0" fontId="1" fillId="0" borderId="0" xfId="0" applyFont="1" applyAlignment="1">
      <alignment vertical="center"/>
    </xf>
    <xf numFmtId="3" fontId="21" fillId="0" borderId="49" xfId="0" applyNumberFormat="1" applyFont="1" applyBorder="1" applyAlignment="1">
      <alignment horizontal="right" wrapText="1"/>
    </xf>
    <xf numFmtId="3" fontId="21" fillId="0" borderId="50" xfId="0" applyNumberFormat="1" applyFont="1" applyBorder="1" applyAlignment="1">
      <alignment horizontal="right" wrapText="1"/>
    </xf>
    <xf numFmtId="3" fontId="21" fillId="0" borderId="51" xfId="0" applyNumberFormat="1" applyFont="1" applyBorder="1" applyAlignment="1">
      <alignment horizontal="right" wrapText="1"/>
    </xf>
    <xf numFmtId="3" fontId="21" fillId="0" borderId="52" xfId="0" applyNumberFormat="1" applyFont="1" applyBorder="1" applyAlignment="1">
      <alignment horizontal="right" wrapText="1"/>
    </xf>
    <xf numFmtId="3" fontId="21" fillId="0" borderId="53" xfId="0" applyNumberFormat="1" applyFont="1" applyBorder="1" applyAlignment="1">
      <alignment horizontal="right" wrapText="1"/>
    </xf>
    <xf numFmtId="3" fontId="21" fillId="0" borderId="54" xfId="0" applyNumberFormat="1" applyFont="1" applyBorder="1"/>
    <xf numFmtId="3" fontId="21" fillId="0" borderId="55" xfId="0" applyNumberFormat="1" applyFont="1" applyBorder="1"/>
    <xf numFmtId="3" fontId="21" fillId="0" borderId="56" xfId="0" applyNumberFormat="1" applyFont="1" applyBorder="1"/>
    <xf numFmtId="3" fontId="21" fillId="0" borderId="57" xfId="0" applyNumberFormat="1" applyFont="1" applyBorder="1"/>
    <xf numFmtId="3" fontId="21" fillId="0" borderId="58" xfId="0" applyNumberFormat="1" applyFont="1" applyBorder="1"/>
    <xf numFmtId="3" fontId="21" fillId="0" borderId="40" xfId="48" applyNumberFormat="1" applyFont="1" applyBorder="1"/>
    <xf numFmtId="3" fontId="21" fillId="0" borderId="41" xfId="48" applyNumberFormat="1" applyFont="1" applyBorder="1"/>
    <xf numFmtId="3" fontId="21" fillId="0" borderId="59" xfId="0" applyNumberFormat="1" applyFont="1" applyBorder="1"/>
    <xf numFmtId="2" fontId="21" fillId="0" borderId="42" xfId="0" applyNumberFormat="1" applyFont="1" applyBorder="1" applyAlignment="1">
      <alignment horizontal="right" wrapText="1"/>
    </xf>
    <xf numFmtId="2" fontId="21" fillId="0" borderId="40" xfId="0" applyNumberFormat="1" applyFont="1" applyBorder="1"/>
    <xf numFmtId="2" fontId="21" fillId="0" borderId="41" xfId="0" applyNumberFormat="1" applyFont="1" applyBorder="1"/>
    <xf numFmtId="0" fontId="31" fillId="0" borderId="0" xfId="0" applyFont="1" applyAlignment="1">
      <alignment wrapText="1"/>
    </xf>
    <xf numFmtId="3" fontId="21" fillId="0" borderId="0" xfId="48" applyNumberFormat="1" applyFont="1"/>
    <xf numFmtId="3" fontId="21" fillId="0" borderId="47" xfId="48" applyNumberFormat="1" applyFont="1" applyBorder="1"/>
    <xf numFmtId="2" fontId="21" fillId="0" borderId="47" xfId="0" applyNumberFormat="1" applyFont="1" applyBorder="1"/>
    <xf numFmtId="2" fontId="21" fillId="0" borderId="52" xfId="0" applyNumberFormat="1" applyFont="1" applyBorder="1" applyAlignment="1">
      <alignment horizontal="right" wrapText="1"/>
    </xf>
  </cellXfs>
  <cellStyles count="10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00000000-0005-0000-0000-00001B000000}"/>
    <cellStyle name="Comma 2 2" xfId="54" xr:uid="{00000000-0005-0000-0000-00001C000000}"/>
    <cellStyle name="Comma 2 3" xfId="50" xr:uid="{00000000-0005-0000-0000-00001D000000}"/>
    <cellStyle name="Comma 3" xfId="55" xr:uid="{00000000-0005-0000-0000-00001E000000}"/>
    <cellStyle name="Comma 4" xfId="47" xr:uid="{00000000-0005-0000-0000-00001F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56" xr:uid="{00000000-0005-0000-0000-00002A000000}"/>
    <cellStyle name="Normal 11" xfId="57" xr:uid="{00000000-0005-0000-0000-00002B000000}"/>
    <cellStyle name="Normal 12" xfId="58" xr:uid="{00000000-0005-0000-0000-00002C000000}"/>
    <cellStyle name="Normal 13" xfId="59" xr:uid="{00000000-0005-0000-0000-00002D000000}"/>
    <cellStyle name="Normal 14" xfId="60" xr:uid="{00000000-0005-0000-0000-00002E000000}"/>
    <cellStyle name="Normal 15" xfId="61" xr:uid="{00000000-0005-0000-0000-00002F000000}"/>
    <cellStyle name="Normal 16" xfId="62" xr:uid="{00000000-0005-0000-0000-000030000000}"/>
    <cellStyle name="Normal 17" xfId="63" xr:uid="{00000000-0005-0000-0000-000031000000}"/>
    <cellStyle name="Normal 18" xfId="64" xr:uid="{00000000-0005-0000-0000-000032000000}"/>
    <cellStyle name="Normal 19" xfId="65" xr:uid="{00000000-0005-0000-0000-000033000000}"/>
    <cellStyle name="Normal 2" xfId="42" xr:uid="{00000000-0005-0000-0000-000034000000}"/>
    <cellStyle name="Normal 2 2" xfId="49" xr:uid="{00000000-0005-0000-0000-000035000000}"/>
    <cellStyle name="Normal 2 2 2" xfId="66" xr:uid="{00000000-0005-0000-0000-000036000000}"/>
    <cellStyle name="Normal 2 3" xfId="52" xr:uid="{00000000-0005-0000-0000-000037000000}"/>
    <cellStyle name="Normal 2 4" xfId="53" xr:uid="{00000000-0005-0000-0000-000038000000}"/>
    <cellStyle name="Normal 2 5" xfId="48" xr:uid="{00000000-0005-0000-0000-000039000000}"/>
    <cellStyle name="Normal 20" xfId="67" xr:uid="{00000000-0005-0000-0000-00003A000000}"/>
    <cellStyle name="Normal 21" xfId="68" xr:uid="{00000000-0005-0000-0000-00003B000000}"/>
    <cellStyle name="Normal 22" xfId="69" xr:uid="{00000000-0005-0000-0000-00003C000000}"/>
    <cellStyle name="Normal 23" xfId="70" xr:uid="{00000000-0005-0000-0000-00003D000000}"/>
    <cellStyle name="Normal 24" xfId="71" xr:uid="{00000000-0005-0000-0000-00003E000000}"/>
    <cellStyle name="Normal 25" xfId="72" xr:uid="{00000000-0005-0000-0000-00003F000000}"/>
    <cellStyle name="Normal 26" xfId="73" xr:uid="{00000000-0005-0000-0000-000040000000}"/>
    <cellStyle name="Normal 27" xfId="74" xr:uid="{00000000-0005-0000-0000-000041000000}"/>
    <cellStyle name="Normal 28" xfId="75" xr:uid="{00000000-0005-0000-0000-000042000000}"/>
    <cellStyle name="Normal 29" xfId="76" xr:uid="{00000000-0005-0000-0000-000043000000}"/>
    <cellStyle name="Normal 3" xfId="45" xr:uid="{00000000-0005-0000-0000-000044000000}"/>
    <cellStyle name="Normal 3 2" xfId="101" xr:uid="{00000000-0005-0000-0000-000045000000}"/>
    <cellStyle name="Normal 30" xfId="77" xr:uid="{00000000-0005-0000-0000-000046000000}"/>
    <cellStyle name="Normal 31" xfId="78" xr:uid="{00000000-0005-0000-0000-000047000000}"/>
    <cellStyle name="Normal 32" xfId="79" xr:uid="{00000000-0005-0000-0000-000048000000}"/>
    <cellStyle name="Normal 33" xfId="80" xr:uid="{00000000-0005-0000-0000-000049000000}"/>
    <cellStyle name="Normal 34" xfId="81" xr:uid="{00000000-0005-0000-0000-00004A000000}"/>
    <cellStyle name="Normal 35" xfId="82" xr:uid="{00000000-0005-0000-0000-00004B000000}"/>
    <cellStyle name="Normal 36" xfId="83" xr:uid="{00000000-0005-0000-0000-00004C000000}"/>
    <cellStyle name="Normal 37" xfId="84" xr:uid="{00000000-0005-0000-0000-00004D000000}"/>
    <cellStyle name="Normal 38" xfId="85" xr:uid="{00000000-0005-0000-0000-00004E000000}"/>
    <cellStyle name="Normal 39" xfId="86" xr:uid="{00000000-0005-0000-0000-00004F000000}"/>
    <cellStyle name="Normal 4" xfId="87" xr:uid="{00000000-0005-0000-0000-000050000000}"/>
    <cellStyle name="Normal 40" xfId="88" xr:uid="{00000000-0005-0000-0000-000051000000}"/>
    <cellStyle name="Normal 41" xfId="89" xr:uid="{00000000-0005-0000-0000-000052000000}"/>
    <cellStyle name="Normal 42" xfId="90" xr:uid="{00000000-0005-0000-0000-000053000000}"/>
    <cellStyle name="Normal 43" xfId="91" xr:uid="{00000000-0005-0000-0000-000054000000}"/>
    <cellStyle name="Normal 44" xfId="92" xr:uid="{00000000-0005-0000-0000-000055000000}"/>
    <cellStyle name="Normal 45" xfId="93" xr:uid="{00000000-0005-0000-0000-000056000000}"/>
    <cellStyle name="Normal 46" xfId="94" xr:uid="{00000000-0005-0000-0000-000057000000}"/>
    <cellStyle name="Normal 47" xfId="95" xr:uid="{00000000-0005-0000-0000-000058000000}"/>
    <cellStyle name="Normal 48" xfId="96" xr:uid="{00000000-0005-0000-0000-000059000000}"/>
    <cellStyle name="Normal 49" xfId="97" xr:uid="{00000000-0005-0000-0000-00005A000000}"/>
    <cellStyle name="Normal 5" xfId="43" xr:uid="{00000000-0005-0000-0000-00005B000000}"/>
    <cellStyle name="Normal 6" xfId="98" xr:uid="{00000000-0005-0000-0000-00005C000000}"/>
    <cellStyle name="Normal 7" xfId="46" xr:uid="{00000000-0005-0000-0000-00005D000000}"/>
    <cellStyle name="Normal 8" xfId="99" xr:uid="{00000000-0005-0000-0000-00005E000000}"/>
    <cellStyle name="Normal 9" xfId="100" xr:uid="{00000000-0005-0000-0000-00005F000000}"/>
    <cellStyle name="Note" xfId="15" builtinId="10" customBuiltin="1"/>
    <cellStyle name="Output" xfId="10" builtinId="21" customBuiltin="1"/>
    <cellStyle name="Percent 2" xfId="51" xr:uid="{00000000-0005-0000-0000-000062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ColWidth="9.33203125" defaultRowHeight="12" x14ac:dyDescent="0.2"/>
  <cols>
    <col min="1" max="1" width="120.6640625" style="15" customWidth="1"/>
    <col min="2" max="16384" width="9.33203125" style="13"/>
  </cols>
  <sheetData>
    <row r="1" spans="1:9" x14ac:dyDescent="0.2">
      <c r="A1" s="12" t="s">
        <v>293</v>
      </c>
    </row>
    <row r="2" spans="1:9" x14ac:dyDescent="0.2">
      <c r="A2" s="12" t="s">
        <v>356</v>
      </c>
    </row>
    <row r="3" spans="1:9" x14ac:dyDescent="0.2">
      <c r="A3" s="2"/>
    </row>
    <row r="4" spans="1:9" x14ac:dyDescent="0.2">
      <c r="A4" s="2"/>
    </row>
    <row r="5" spans="1:9" x14ac:dyDescent="0.2">
      <c r="A5" s="2" t="s">
        <v>294</v>
      </c>
    </row>
    <row r="6" spans="1:9" x14ac:dyDescent="0.2">
      <c r="A6" s="2"/>
    </row>
    <row r="7" spans="1:9" x14ac:dyDescent="0.2">
      <c r="A7" s="2" t="s">
        <v>538</v>
      </c>
    </row>
    <row r="8" spans="1:9" x14ac:dyDescent="0.2">
      <c r="A8" s="2"/>
    </row>
    <row r="9" spans="1:9" x14ac:dyDescent="0.2">
      <c r="A9" s="2" t="s">
        <v>445</v>
      </c>
    </row>
    <row r="10" spans="1:9" x14ac:dyDescent="0.2">
      <c r="A10" s="2"/>
    </row>
    <row r="11" spans="1:9" ht="24" x14ac:dyDescent="0.2">
      <c r="A11" s="14" t="s">
        <v>446</v>
      </c>
    </row>
    <row r="12" spans="1:9" x14ac:dyDescent="0.2">
      <c r="A12" s="14"/>
    </row>
    <row r="13" spans="1:9" ht="36" x14ac:dyDescent="0.2">
      <c r="A13" s="14" t="s">
        <v>447</v>
      </c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4"/>
      <c r="B14" s="1"/>
      <c r="C14" s="1"/>
      <c r="D14" s="1"/>
      <c r="E14" s="1"/>
      <c r="F14" s="1"/>
      <c r="G14" s="1"/>
      <c r="H14" s="1"/>
      <c r="I14" s="1"/>
    </row>
    <row r="15" spans="1:9" ht="24" x14ac:dyDescent="0.2">
      <c r="A15" s="14" t="s">
        <v>448</v>
      </c>
    </row>
    <row r="17" spans="1:1" ht="25.5" x14ac:dyDescent="0.2">
      <c r="A17" s="130" t="s">
        <v>539</v>
      </c>
    </row>
    <row r="19" spans="1:1" x14ac:dyDescent="0.2">
      <c r="A19" s="15" t="s">
        <v>458</v>
      </c>
    </row>
    <row r="21" spans="1:1" x14ac:dyDescent="0.2">
      <c r="A21" s="15" t="s">
        <v>558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47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3" style="3" bestFit="1" customWidth="1"/>
    <col min="2" max="2" width="20" style="3" bestFit="1" customWidth="1"/>
    <col min="3" max="22" width="11.83203125" style="4" customWidth="1"/>
    <col min="23" max="23" width="11.83203125" style="5" customWidth="1"/>
    <col min="24" max="53" width="11.83203125" style="4" customWidth="1"/>
    <col min="54" max="69" width="11.83203125" style="6" customWidth="1"/>
    <col min="70" max="16384" width="9.33203125" style="6"/>
  </cols>
  <sheetData>
    <row r="1" spans="1:69" s="9" customFormat="1" ht="12" x14ac:dyDescent="0.2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9" s="7" customFormat="1" ht="57.95" customHeight="1" x14ac:dyDescent="0.2">
      <c r="A4" s="18" t="s">
        <v>81</v>
      </c>
      <c r="B4" s="19" t="s">
        <v>82</v>
      </c>
      <c r="C4" s="24" t="s">
        <v>422</v>
      </c>
      <c r="D4" s="27" t="s">
        <v>110</v>
      </c>
      <c r="E4" s="28" t="s">
        <v>111</v>
      </c>
      <c r="F4" s="28" t="s">
        <v>112</v>
      </c>
      <c r="G4" s="28" t="s">
        <v>278</v>
      </c>
      <c r="H4" s="28" t="s">
        <v>279</v>
      </c>
      <c r="I4" s="28" t="s">
        <v>280</v>
      </c>
      <c r="J4" s="28" t="s">
        <v>281</v>
      </c>
      <c r="K4" s="28" t="s">
        <v>282</v>
      </c>
      <c r="L4" s="28" t="s">
        <v>283</v>
      </c>
      <c r="M4" s="29" t="s">
        <v>423</v>
      </c>
      <c r="N4" s="27" t="s">
        <v>284</v>
      </c>
      <c r="O4" s="28" t="s">
        <v>285</v>
      </c>
      <c r="P4" s="28" t="s">
        <v>286</v>
      </c>
      <c r="Q4" s="28" t="s">
        <v>287</v>
      </c>
      <c r="R4" s="28" t="s">
        <v>288</v>
      </c>
      <c r="S4" s="28" t="s">
        <v>289</v>
      </c>
      <c r="T4" s="28" t="s">
        <v>290</v>
      </c>
      <c r="U4" s="28" t="s">
        <v>291</v>
      </c>
      <c r="V4" s="28" t="s">
        <v>292</v>
      </c>
      <c r="W4" s="29" t="s">
        <v>424</v>
      </c>
      <c r="X4" s="27" t="s">
        <v>83</v>
      </c>
      <c r="Y4" s="28" t="s">
        <v>84</v>
      </c>
      <c r="Z4" s="28" t="s">
        <v>85</v>
      </c>
      <c r="AA4" s="28" t="s">
        <v>86</v>
      </c>
      <c r="AB4" s="28" t="s">
        <v>87</v>
      </c>
      <c r="AC4" s="28" t="s">
        <v>88</v>
      </c>
      <c r="AD4" s="28" t="s">
        <v>89</v>
      </c>
      <c r="AE4" s="28" t="s">
        <v>90</v>
      </c>
      <c r="AF4" s="28" t="s">
        <v>91</v>
      </c>
      <c r="AG4" s="29" t="s">
        <v>425</v>
      </c>
      <c r="AH4" s="27" t="s">
        <v>92</v>
      </c>
      <c r="AI4" s="28" t="s">
        <v>93</v>
      </c>
      <c r="AJ4" s="28" t="s">
        <v>94</v>
      </c>
      <c r="AK4" s="28" t="s">
        <v>95</v>
      </c>
      <c r="AL4" s="28" t="s">
        <v>96</v>
      </c>
      <c r="AM4" s="28" t="s">
        <v>97</v>
      </c>
      <c r="AN4" s="28" t="s">
        <v>98</v>
      </c>
      <c r="AO4" s="28" t="s">
        <v>99</v>
      </c>
      <c r="AP4" s="28" t="s">
        <v>100</v>
      </c>
      <c r="AQ4" s="29" t="s">
        <v>426</v>
      </c>
      <c r="AR4" s="27" t="s">
        <v>101</v>
      </c>
      <c r="AS4" s="28" t="s">
        <v>102</v>
      </c>
      <c r="AT4" s="28" t="s">
        <v>103</v>
      </c>
      <c r="AU4" s="28" t="s">
        <v>104</v>
      </c>
      <c r="AV4" s="28" t="s">
        <v>105</v>
      </c>
      <c r="AW4" s="28" t="s">
        <v>106</v>
      </c>
      <c r="AX4" s="28" t="s">
        <v>107</v>
      </c>
      <c r="AY4" s="28" t="s">
        <v>108</v>
      </c>
      <c r="AZ4" s="28" t="s">
        <v>109</v>
      </c>
      <c r="BA4" s="29" t="s">
        <v>427</v>
      </c>
      <c r="BB4" s="27" t="s">
        <v>449</v>
      </c>
      <c r="BC4" s="28" t="s">
        <v>450</v>
      </c>
      <c r="BD4" s="28" t="s">
        <v>451</v>
      </c>
      <c r="BE4" s="37" t="s">
        <v>452</v>
      </c>
      <c r="BF4" s="72" t="s">
        <v>453</v>
      </c>
      <c r="BG4" s="72" t="s">
        <v>454</v>
      </c>
      <c r="BH4" s="72" t="s">
        <v>455</v>
      </c>
      <c r="BI4" s="72" t="s">
        <v>456</v>
      </c>
      <c r="BJ4" s="72" t="s">
        <v>457</v>
      </c>
      <c r="BK4" s="29" t="s">
        <v>444</v>
      </c>
      <c r="BL4" s="97" t="s">
        <v>540</v>
      </c>
      <c r="BM4" s="72" t="s">
        <v>459</v>
      </c>
      <c r="BN4" s="72" t="s">
        <v>466</v>
      </c>
      <c r="BO4" s="117" t="s">
        <v>544</v>
      </c>
      <c r="BP4" s="117" t="s">
        <v>551</v>
      </c>
      <c r="BQ4" s="66" t="s">
        <v>559</v>
      </c>
    </row>
    <row r="5" spans="1:69" x14ac:dyDescent="0.2">
      <c r="A5" s="20" t="s">
        <v>0</v>
      </c>
      <c r="B5" s="21" t="s">
        <v>1</v>
      </c>
      <c r="C5" s="54">
        <v>9929</v>
      </c>
      <c r="D5" s="56">
        <v>10100</v>
      </c>
      <c r="E5" s="57">
        <v>10300</v>
      </c>
      <c r="F5" s="57">
        <v>10100</v>
      </c>
      <c r="G5" s="57">
        <v>10200</v>
      </c>
      <c r="H5" s="57">
        <v>10400</v>
      </c>
      <c r="I5" s="57">
        <v>10600</v>
      </c>
      <c r="J5" s="57">
        <v>11000</v>
      </c>
      <c r="K5" s="57">
        <v>11000</v>
      </c>
      <c r="L5" s="57">
        <v>11400</v>
      </c>
      <c r="M5" s="58">
        <v>12014</v>
      </c>
      <c r="N5" s="56">
        <v>12200</v>
      </c>
      <c r="O5" s="57">
        <v>12600</v>
      </c>
      <c r="P5" s="57">
        <v>12700</v>
      </c>
      <c r="Q5" s="57">
        <v>12700</v>
      </c>
      <c r="R5" s="57">
        <v>13100</v>
      </c>
      <c r="S5" s="57">
        <v>13709</v>
      </c>
      <c r="T5" s="57">
        <v>13900</v>
      </c>
      <c r="U5" s="57">
        <v>14000</v>
      </c>
      <c r="V5" s="57">
        <v>13800</v>
      </c>
      <c r="W5" s="58">
        <v>13267</v>
      </c>
      <c r="X5" s="56">
        <v>13323</v>
      </c>
      <c r="Y5" s="57">
        <v>13407</v>
      </c>
      <c r="Z5" s="57">
        <v>13378</v>
      </c>
      <c r="AA5" s="57">
        <v>13389</v>
      </c>
      <c r="AB5" s="57">
        <v>13418</v>
      </c>
      <c r="AC5" s="57">
        <v>13430</v>
      </c>
      <c r="AD5" s="57">
        <v>13468</v>
      </c>
      <c r="AE5" s="57">
        <v>13503</v>
      </c>
      <c r="AF5" s="57">
        <v>13570</v>
      </c>
      <c r="AG5" s="58">
        <v>13603</v>
      </c>
      <c r="AH5" s="56">
        <v>13823</v>
      </c>
      <c r="AI5" s="57">
        <v>14063</v>
      </c>
      <c r="AJ5" s="57">
        <v>14335</v>
      </c>
      <c r="AK5" s="57">
        <v>14679</v>
      </c>
      <c r="AL5" s="57">
        <v>15030</v>
      </c>
      <c r="AM5" s="57">
        <v>15323</v>
      </c>
      <c r="AN5" s="57">
        <v>15698</v>
      </c>
      <c r="AO5" s="57">
        <v>15879</v>
      </c>
      <c r="AP5" s="57">
        <v>16151</v>
      </c>
      <c r="AQ5" s="58">
        <v>16428</v>
      </c>
      <c r="AR5" s="93">
        <v>16699</v>
      </c>
      <c r="AS5" s="94">
        <v>16911</v>
      </c>
      <c r="AT5" s="94">
        <v>17081</v>
      </c>
      <c r="AU5" s="94">
        <v>17489</v>
      </c>
      <c r="AV5" s="94">
        <v>17643</v>
      </c>
      <c r="AW5" s="94">
        <v>17690</v>
      </c>
      <c r="AX5" s="94">
        <v>17959</v>
      </c>
      <c r="AY5" s="94">
        <v>18214</v>
      </c>
      <c r="AZ5" s="94">
        <v>18421</v>
      </c>
      <c r="BA5" s="58">
        <v>18728</v>
      </c>
      <c r="BB5" s="62">
        <v>18849</v>
      </c>
      <c r="BC5" s="57">
        <v>19013</v>
      </c>
      <c r="BD5" s="57">
        <v>19172</v>
      </c>
      <c r="BE5" s="64">
        <v>19309</v>
      </c>
      <c r="BF5" s="64">
        <v>19451</v>
      </c>
      <c r="BG5" s="64">
        <v>19643</v>
      </c>
      <c r="BH5" s="104">
        <v>20068</v>
      </c>
      <c r="BI5" s="104">
        <v>20200</v>
      </c>
      <c r="BJ5" s="104">
        <v>20335</v>
      </c>
      <c r="BK5" s="109">
        <v>20613</v>
      </c>
      <c r="BL5" s="124">
        <v>20900</v>
      </c>
      <c r="BM5" s="104">
        <v>21100</v>
      </c>
      <c r="BN5" s="104">
        <v>21200</v>
      </c>
      <c r="BO5" s="131">
        <v>21475</v>
      </c>
      <c r="BP5" s="131">
        <v>21550</v>
      </c>
      <c r="BQ5" s="109">
        <v>22000</v>
      </c>
    </row>
    <row r="6" spans="1:69" x14ac:dyDescent="0.2">
      <c r="A6" s="20" t="s">
        <v>3</v>
      </c>
      <c r="B6" s="21" t="s">
        <v>4</v>
      </c>
      <c r="C6" s="54">
        <v>12909</v>
      </c>
      <c r="D6" s="56">
        <v>12700</v>
      </c>
      <c r="E6" s="57">
        <v>13000</v>
      </c>
      <c r="F6" s="57">
        <v>13100</v>
      </c>
      <c r="G6" s="57">
        <v>12900</v>
      </c>
      <c r="H6" s="57">
        <v>12900</v>
      </c>
      <c r="I6" s="57">
        <v>13100</v>
      </c>
      <c r="J6" s="57">
        <v>13600</v>
      </c>
      <c r="K6" s="57">
        <v>13600</v>
      </c>
      <c r="L6" s="57">
        <v>13500</v>
      </c>
      <c r="M6" s="58">
        <v>13799</v>
      </c>
      <c r="N6" s="56">
        <v>14000</v>
      </c>
      <c r="O6" s="57">
        <v>14500</v>
      </c>
      <c r="P6" s="57">
        <v>14500</v>
      </c>
      <c r="Q6" s="57">
        <v>14700</v>
      </c>
      <c r="R6" s="57">
        <v>14800</v>
      </c>
      <c r="S6" s="57">
        <v>14900</v>
      </c>
      <c r="T6" s="57">
        <v>15500</v>
      </c>
      <c r="U6" s="57">
        <v>16000</v>
      </c>
      <c r="V6" s="57">
        <v>16400</v>
      </c>
      <c r="W6" s="58">
        <v>16823</v>
      </c>
      <c r="X6" s="56">
        <v>16804</v>
      </c>
      <c r="Y6" s="57">
        <v>16908</v>
      </c>
      <c r="Z6" s="57">
        <v>16839</v>
      </c>
      <c r="AA6" s="57">
        <v>17014</v>
      </c>
      <c r="AB6" s="57">
        <v>17154</v>
      </c>
      <c r="AC6" s="57">
        <v>17030</v>
      </c>
      <c r="AD6" s="57">
        <v>17096</v>
      </c>
      <c r="AE6" s="57">
        <v>17189</v>
      </c>
      <c r="AF6" s="57">
        <v>17326</v>
      </c>
      <c r="AG6" s="58">
        <v>17605</v>
      </c>
      <c r="AH6" s="56">
        <v>17677</v>
      </c>
      <c r="AI6" s="57">
        <v>17866</v>
      </c>
      <c r="AJ6" s="57">
        <v>18124</v>
      </c>
      <c r="AK6" s="57">
        <v>18666</v>
      </c>
      <c r="AL6" s="57">
        <v>18937</v>
      </c>
      <c r="AM6" s="57">
        <v>19622</v>
      </c>
      <c r="AN6" s="57">
        <v>19943</v>
      </c>
      <c r="AO6" s="57">
        <v>20202</v>
      </c>
      <c r="AP6" s="57">
        <v>20442</v>
      </c>
      <c r="AQ6" s="58">
        <v>20551</v>
      </c>
      <c r="AR6" s="93">
        <v>20650</v>
      </c>
      <c r="AS6" s="94">
        <v>20652</v>
      </c>
      <c r="AT6" s="94">
        <v>20709</v>
      </c>
      <c r="AU6" s="94">
        <v>20779</v>
      </c>
      <c r="AV6" s="94">
        <v>20939</v>
      </c>
      <c r="AW6" s="94">
        <v>21176</v>
      </c>
      <c r="AX6" s="94">
        <v>21413</v>
      </c>
      <c r="AY6" s="94">
        <v>21522</v>
      </c>
      <c r="AZ6" s="94">
        <v>21593</v>
      </c>
      <c r="BA6" s="58">
        <v>21623</v>
      </c>
      <c r="BB6" s="63">
        <v>21667</v>
      </c>
      <c r="BC6" s="57">
        <v>21680</v>
      </c>
      <c r="BD6" s="57">
        <v>21725</v>
      </c>
      <c r="BE6" s="64">
        <v>21790</v>
      </c>
      <c r="BF6" s="64">
        <v>21889</v>
      </c>
      <c r="BG6" s="64">
        <v>22003</v>
      </c>
      <c r="BH6" s="104">
        <v>22047</v>
      </c>
      <c r="BI6" s="104">
        <v>22112</v>
      </c>
      <c r="BJ6" s="104">
        <v>22182</v>
      </c>
      <c r="BK6" s="109">
        <v>22285</v>
      </c>
      <c r="BL6" s="124">
        <v>22500</v>
      </c>
      <c r="BM6" s="104">
        <v>22600</v>
      </c>
      <c r="BN6" s="104">
        <v>22650</v>
      </c>
      <c r="BO6" s="131">
        <v>22725</v>
      </c>
      <c r="BP6" s="131">
        <v>22750</v>
      </c>
      <c r="BQ6" s="109">
        <v>22950</v>
      </c>
    </row>
    <row r="7" spans="1:69" x14ac:dyDescent="0.2">
      <c r="A7" s="20" t="s">
        <v>5</v>
      </c>
      <c r="B7" s="21" t="s">
        <v>6</v>
      </c>
      <c r="C7" s="54">
        <v>62070</v>
      </c>
      <c r="D7" s="56">
        <v>62300</v>
      </c>
      <c r="E7" s="57">
        <v>62800</v>
      </c>
      <c r="F7" s="57">
        <v>62400</v>
      </c>
      <c r="G7" s="57">
        <v>62300</v>
      </c>
      <c r="H7" s="57">
        <v>62500</v>
      </c>
      <c r="I7" s="57">
        <v>63100</v>
      </c>
      <c r="J7" s="57">
        <v>64300</v>
      </c>
      <c r="K7" s="57">
        <v>65200</v>
      </c>
      <c r="L7" s="57">
        <v>66000</v>
      </c>
      <c r="M7" s="58">
        <v>67540</v>
      </c>
      <c r="N7" s="56">
        <v>67500</v>
      </c>
      <c r="O7" s="57">
        <v>67700</v>
      </c>
      <c r="P7" s="57">
        <v>68200</v>
      </c>
      <c r="Q7" s="57">
        <v>70100</v>
      </c>
      <c r="R7" s="57">
        <v>74500</v>
      </c>
      <c r="S7" s="57">
        <v>80800</v>
      </c>
      <c r="T7" s="57">
        <v>86900</v>
      </c>
      <c r="U7" s="57">
        <v>94300</v>
      </c>
      <c r="V7" s="57">
        <v>102800</v>
      </c>
      <c r="W7" s="58">
        <v>109444</v>
      </c>
      <c r="X7" s="56">
        <v>110608</v>
      </c>
      <c r="Y7" s="57">
        <v>114265</v>
      </c>
      <c r="Z7" s="57">
        <v>113055</v>
      </c>
      <c r="AA7" s="57">
        <v>109932</v>
      </c>
      <c r="AB7" s="57">
        <v>108452</v>
      </c>
      <c r="AC7" s="57">
        <v>108841</v>
      </c>
      <c r="AD7" s="57">
        <v>109637</v>
      </c>
      <c r="AE7" s="57">
        <v>110408</v>
      </c>
      <c r="AF7" s="57">
        <v>111355</v>
      </c>
      <c r="AG7" s="58">
        <v>112560</v>
      </c>
      <c r="AH7" s="56">
        <v>114439</v>
      </c>
      <c r="AI7" s="57">
        <v>116503</v>
      </c>
      <c r="AJ7" s="57">
        <v>119374</v>
      </c>
      <c r="AK7" s="57">
        <v>123457</v>
      </c>
      <c r="AL7" s="57">
        <v>128359</v>
      </c>
      <c r="AM7" s="57">
        <v>132590</v>
      </c>
      <c r="AN7" s="57">
        <v>135620</v>
      </c>
      <c r="AO7" s="57">
        <v>137717</v>
      </c>
      <c r="AP7" s="57">
        <v>139498</v>
      </c>
      <c r="AQ7" s="58">
        <v>142475</v>
      </c>
      <c r="AR7" s="93">
        <v>145267</v>
      </c>
      <c r="AS7" s="94">
        <v>148290</v>
      </c>
      <c r="AT7" s="94">
        <v>151933</v>
      </c>
      <c r="AU7" s="94">
        <v>155874</v>
      </c>
      <c r="AV7" s="94">
        <v>159286</v>
      </c>
      <c r="AW7" s="94">
        <v>162255</v>
      </c>
      <c r="AX7" s="94">
        <v>165096</v>
      </c>
      <c r="AY7" s="94">
        <v>167598</v>
      </c>
      <c r="AZ7" s="94">
        <v>171402</v>
      </c>
      <c r="BA7" s="58">
        <v>175177</v>
      </c>
      <c r="BB7" s="63">
        <v>177675</v>
      </c>
      <c r="BC7" s="57">
        <v>180115</v>
      </c>
      <c r="BD7" s="57">
        <v>183504</v>
      </c>
      <c r="BE7" s="64">
        <v>186954</v>
      </c>
      <c r="BF7" s="64">
        <v>189520</v>
      </c>
      <c r="BG7" s="64">
        <v>191531</v>
      </c>
      <c r="BH7" s="104">
        <v>194724</v>
      </c>
      <c r="BI7" s="104">
        <v>198731</v>
      </c>
      <c r="BJ7" s="104">
        <v>202822</v>
      </c>
      <c r="BK7" s="109">
        <v>206873</v>
      </c>
      <c r="BL7" s="124">
        <v>209400</v>
      </c>
      <c r="BM7" s="104">
        <v>212300</v>
      </c>
      <c r="BN7" s="104">
        <v>215500</v>
      </c>
      <c r="BO7" s="131">
        <v>217850</v>
      </c>
      <c r="BP7" s="131">
        <v>219625</v>
      </c>
      <c r="BQ7" s="109">
        <v>223200</v>
      </c>
    </row>
    <row r="8" spans="1:69" x14ac:dyDescent="0.2">
      <c r="A8" s="20" t="s">
        <v>7</v>
      </c>
      <c r="B8" s="21" t="s">
        <v>8</v>
      </c>
      <c r="C8" s="54">
        <v>40744</v>
      </c>
      <c r="D8" s="56">
        <v>40600</v>
      </c>
      <c r="E8" s="57">
        <v>40700</v>
      </c>
      <c r="F8" s="57">
        <v>40100</v>
      </c>
      <c r="G8" s="57">
        <v>40000</v>
      </c>
      <c r="H8" s="57">
        <v>39800</v>
      </c>
      <c r="I8" s="57">
        <v>39700</v>
      </c>
      <c r="J8" s="57">
        <v>40400</v>
      </c>
      <c r="K8" s="57">
        <v>40600</v>
      </c>
      <c r="L8" s="57">
        <v>40300</v>
      </c>
      <c r="M8" s="58">
        <v>41103</v>
      </c>
      <c r="N8" s="56">
        <v>41000</v>
      </c>
      <c r="O8" s="57">
        <v>38900</v>
      </c>
      <c r="P8" s="57">
        <v>39000</v>
      </c>
      <c r="Q8" s="57">
        <v>39700</v>
      </c>
      <c r="R8" s="57">
        <v>40200</v>
      </c>
      <c r="S8" s="57">
        <v>40700</v>
      </c>
      <c r="T8" s="57">
        <v>41400</v>
      </c>
      <c r="U8" s="57">
        <v>42600</v>
      </c>
      <c r="V8" s="57">
        <v>43800</v>
      </c>
      <c r="W8" s="58">
        <v>45061</v>
      </c>
      <c r="X8" s="56">
        <v>46050</v>
      </c>
      <c r="Y8" s="57">
        <v>45916</v>
      </c>
      <c r="Z8" s="57">
        <v>47454</v>
      </c>
      <c r="AA8" s="57">
        <v>48620</v>
      </c>
      <c r="AB8" s="57">
        <v>49250</v>
      </c>
      <c r="AC8" s="57">
        <v>49373</v>
      </c>
      <c r="AD8" s="57">
        <v>49514</v>
      </c>
      <c r="AE8" s="57">
        <v>50577</v>
      </c>
      <c r="AF8" s="57">
        <v>51073</v>
      </c>
      <c r="AG8" s="58">
        <v>52250</v>
      </c>
      <c r="AH8" s="56">
        <v>53436</v>
      </c>
      <c r="AI8" s="57">
        <v>54965</v>
      </c>
      <c r="AJ8" s="57">
        <v>56423</v>
      </c>
      <c r="AK8" s="57">
        <v>58319</v>
      </c>
      <c r="AL8" s="57">
        <v>60079</v>
      </c>
      <c r="AM8" s="57">
        <v>61240</v>
      </c>
      <c r="AN8" s="57">
        <v>62895</v>
      </c>
      <c r="AO8" s="57">
        <v>64199</v>
      </c>
      <c r="AP8" s="57">
        <v>65575</v>
      </c>
      <c r="AQ8" s="58">
        <v>66616</v>
      </c>
      <c r="AR8" s="93">
        <v>66896</v>
      </c>
      <c r="AS8" s="94">
        <v>67400</v>
      </c>
      <c r="AT8" s="94">
        <v>67507</v>
      </c>
      <c r="AU8" s="94">
        <v>68013</v>
      </c>
      <c r="AV8" s="94">
        <v>68963</v>
      </c>
      <c r="AW8" s="94">
        <v>69895</v>
      </c>
      <c r="AX8" s="94">
        <v>70773</v>
      </c>
      <c r="AY8" s="94">
        <v>71799</v>
      </c>
      <c r="AZ8" s="94">
        <v>72185</v>
      </c>
      <c r="BA8" s="58">
        <v>72453</v>
      </c>
      <c r="BB8" s="63">
        <v>72833</v>
      </c>
      <c r="BC8" s="57">
        <v>73166</v>
      </c>
      <c r="BD8" s="57">
        <v>73391</v>
      </c>
      <c r="BE8" s="64">
        <v>74405</v>
      </c>
      <c r="BF8" s="64">
        <v>74873</v>
      </c>
      <c r="BG8" s="64">
        <v>75500</v>
      </c>
      <c r="BH8" s="104">
        <v>76338</v>
      </c>
      <c r="BI8" s="104">
        <v>77465</v>
      </c>
      <c r="BJ8" s="104">
        <v>77944</v>
      </c>
      <c r="BK8" s="109">
        <v>79141</v>
      </c>
      <c r="BL8" s="124">
        <v>80000</v>
      </c>
      <c r="BM8" s="104">
        <v>80650</v>
      </c>
      <c r="BN8" s="104">
        <v>81500</v>
      </c>
      <c r="BO8" s="131">
        <v>82300</v>
      </c>
      <c r="BP8" s="131">
        <v>82900</v>
      </c>
      <c r="BQ8" s="109">
        <v>83525</v>
      </c>
    </row>
    <row r="9" spans="1:69" x14ac:dyDescent="0.2">
      <c r="A9" s="20" t="s">
        <v>9</v>
      </c>
      <c r="B9" s="21" t="s">
        <v>10</v>
      </c>
      <c r="C9" s="54">
        <v>30022</v>
      </c>
      <c r="D9" s="56">
        <v>30400</v>
      </c>
      <c r="E9" s="57">
        <v>31000</v>
      </c>
      <c r="F9" s="57">
        <v>30900</v>
      </c>
      <c r="G9" s="57">
        <v>31300</v>
      </c>
      <c r="H9" s="57">
        <v>31900</v>
      </c>
      <c r="I9" s="57">
        <v>32500</v>
      </c>
      <c r="J9" s="57">
        <v>33600</v>
      </c>
      <c r="K9" s="57">
        <v>34300</v>
      </c>
      <c r="L9" s="57">
        <v>34600</v>
      </c>
      <c r="M9" s="58">
        <v>34770</v>
      </c>
      <c r="N9" s="56">
        <v>35700</v>
      </c>
      <c r="O9" s="57">
        <v>36300</v>
      </c>
      <c r="P9" s="57">
        <v>37700</v>
      </c>
      <c r="Q9" s="57">
        <v>39300</v>
      </c>
      <c r="R9" s="57">
        <v>41100</v>
      </c>
      <c r="S9" s="57">
        <v>43100</v>
      </c>
      <c r="T9" s="57">
        <v>44000</v>
      </c>
      <c r="U9" s="57">
        <v>46300</v>
      </c>
      <c r="V9" s="57">
        <v>49300</v>
      </c>
      <c r="W9" s="58">
        <v>51648</v>
      </c>
      <c r="X9" s="56">
        <v>51891</v>
      </c>
      <c r="Y9" s="57">
        <v>51485</v>
      </c>
      <c r="Z9" s="57">
        <v>52055</v>
      </c>
      <c r="AA9" s="57">
        <v>52547</v>
      </c>
      <c r="AB9" s="57">
        <v>52465</v>
      </c>
      <c r="AC9" s="57">
        <v>52837</v>
      </c>
      <c r="AD9" s="57">
        <v>52794</v>
      </c>
      <c r="AE9" s="57">
        <v>54396</v>
      </c>
      <c r="AF9" s="57">
        <v>55257</v>
      </c>
      <c r="AG9" s="58">
        <v>56204</v>
      </c>
      <c r="AH9" s="56">
        <v>57626</v>
      </c>
      <c r="AI9" s="57">
        <v>58275</v>
      </c>
      <c r="AJ9" s="57">
        <v>59155</v>
      </c>
      <c r="AK9" s="57">
        <v>59919</v>
      </c>
      <c r="AL9" s="57">
        <v>60548</v>
      </c>
      <c r="AM9" s="57">
        <v>61469</v>
      </c>
      <c r="AN9" s="57">
        <v>62037</v>
      </c>
      <c r="AO9" s="57">
        <v>62933</v>
      </c>
      <c r="AP9" s="57">
        <v>63425</v>
      </c>
      <c r="AQ9" s="58">
        <v>64179</v>
      </c>
      <c r="AR9" s="93">
        <v>64717</v>
      </c>
      <c r="AS9" s="94">
        <v>65398</v>
      </c>
      <c r="AT9" s="94">
        <v>65928</v>
      </c>
      <c r="AU9" s="94">
        <v>66725</v>
      </c>
      <c r="AV9" s="94">
        <v>67672</v>
      </c>
      <c r="AW9" s="94">
        <v>68948</v>
      </c>
      <c r="AX9" s="94">
        <v>69847</v>
      </c>
      <c r="AY9" s="94">
        <v>70629</v>
      </c>
      <c r="AZ9" s="94">
        <v>71027</v>
      </c>
      <c r="BA9" s="58">
        <v>71404</v>
      </c>
      <c r="BB9" s="63">
        <v>71810</v>
      </c>
      <c r="BC9" s="57">
        <v>72383</v>
      </c>
      <c r="BD9" s="57">
        <v>72771</v>
      </c>
      <c r="BE9" s="64">
        <v>73104</v>
      </c>
      <c r="BF9" s="64">
        <v>73482</v>
      </c>
      <c r="BG9" s="64">
        <v>74160</v>
      </c>
      <c r="BH9" s="104">
        <v>74873</v>
      </c>
      <c r="BI9" s="104">
        <v>75513</v>
      </c>
      <c r="BJ9" s="104">
        <v>76439</v>
      </c>
      <c r="BK9" s="109">
        <v>77155</v>
      </c>
      <c r="BL9" s="124">
        <v>77750</v>
      </c>
      <c r="BM9" s="104">
        <v>77625</v>
      </c>
      <c r="BN9" s="104">
        <v>78075</v>
      </c>
      <c r="BO9" s="131">
        <v>78550</v>
      </c>
      <c r="BP9" s="131">
        <v>78650</v>
      </c>
      <c r="BQ9" s="109">
        <v>79250</v>
      </c>
    </row>
    <row r="10" spans="1:69" x14ac:dyDescent="0.2">
      <c r="A10" s="20" t="s">
        <v>11</v>
      </c>
      <c r="B10" s="21" t="s">
        <v>12</v>
      </c>
      <c r="C10" s="54">
        <v>93809</v>
      </c>
      <c r="D10" s="56">
        <v>96800</v>
      </c>
      <c r="E10" s="57">
        <v>99900</v>
      </c>
      <c r="F10" s="57">
        <v>102200</v>
      </c>
      <c r="G10" s="57">
        <v>105000</v>
      </c>
      <c r="H10" s="57">
        <v>108500</v>
      </c>
      <c r="I10" s="57">
        <v>111900</v>
      </c>
      <c r="J10" s="57">
        <v>117200</v>
      </c>
      <c r="K10" s="57">
        <v>122500</v>
      </c>
      <c r="L10" s="57">
        <v>129000</v>
      </c>
      <c r="M10" s="58">
        <v>128454</v>
      </c>
      <c r="N10" s="56">
        <v>133400</v>
      </c>
      <c r="O10" s="57">
        <v>141200</v>
      </c>
      <c r="P10" s="57">
        <v>145200</v>
      </c>
      <c r="Q10" s="57">
        <v>151600</v>
      </c>
      <c r="R10" s="57">
        <v>156800</v>
      </c>
      <c r="S10" s="57">
        <v>161000</v>
      </c>
      <c r="T10" s="57">
        <v>168400</v>
      </c>
      <c r="U10" s="57">
        <v>174500</v>
      </c>
      <c r="V10" s="57">
        <v>183500</v>
      </c>
      <c r="W10" s="58">
        <v>192227</v>
      </c>
      <c r="X10" s="56">
        <v>196475</v>
      </c>
      <c r="Y10" s="57">
        <v>199685</v>
      </c>
      <c r="Z10" s="57">
        <v>202165</v>
      </c>
      <c r="AA10" s="57">
        <v>203757</v>
      </c>
      <c r="AB10" s="57">
        <v>206744</v>
      </c>
      <c r="AC10" s="57">
        <v>210423</v>
      </c>
      <c r="AD10" s="57">
        <v>213961</v>
      </c>
      <c r="AE10" s="57">
        <v>219050</v>
      </c>
      <c r="AF10" s="57">
        <v>226188</v>
      </c>
      <c r="AG10" s="58">
        <v>238053</v>
      </c>
      <c r="AH10" s="56">
        <v>248417</v>
      </c>
      <c r="AI10" s="57">
        <v>255915</v>
      </c>
      <c r="AJ10" s="57">
        <v>264548</v>
      </c>
      <c r="AK10" s="57">
        <v>274423</v>
      </c>
      <c r="AL10" s="57">
        <v>286804</v>
      </c>
      <c r="AM10" s="57">
        <v>298364</v>
      </c>
      <c r="AN10" s="57">
        <v>310512</v>
      </c>
      <c r="AO10" s="57">
        <v>323892</v>
      </c>
      <c r="AP10" s="57">
        <v>334641</v>
      </c>
      <c r="AQ10" s="58">
        <v>345238</v>
      </c>
      <c r="AR10" s="93">
        <v>352715</v>
      </c>
      <c r="AS10" s="94">
        <v>364855</v>
      </c>
      <c r="AT10" s="94">
        <v>374091</v>
      </c>
      <c r="AU10" s="94">
        <v>385370</v>
      </c>
      <c r="AV10" s="94">
        <v>394600</v>
      </c>
      <c r="AW10" s="94">
        <v>404737</v>
      </c>
      <c r="AX10" s="94">
        <v>412692</v>
      </c>
      <c r="AY10" s="94">
        <v>419091</v>
      </c>
      <c r="AZ10" s="94">
        <v>423775</v>
      </c>
      <c r="BA10" s="58">
        <v>425363</v>
      </c>
      <c r="BB10" s="63">
        <v>428626</v>
      </c>
      <c r="BC10" s="57">
        <v>432320</v>
      </c>
      <c r="BD10" s="57">
        <v>437014</v>
      </c>
      <c r="BE10" s="64">
        <v>444450</v>
      </c>
      <c r="BF10" s="64">
        <v>452534</v>
      </c>
      <c r="BG10" s="64">
        <v>461869</v>
      </c>
      <c r="BH10" s="104">
        <v>472481</v>
      </c>
      <c r="BI10" s="104">
        <v>480952</v>
      </c>
      <c r="BJ10" s="104">
        <v>490693</v>
      </c>
      <c r="BK10" s="109">
        <v>503311</v>
      </c>
      <c r="BL10" s="124">
        <v>513100</v>
      </c>
      <c r="BM10" s="104">
        <v>520900</v>
      </c>
      <c r="BN10" s="104">
        <v>527400</v>
      </c>
      <c r="BO10" s="131">
        <v>536300</v>
      </c>
      <c r="BP10" s="131">
        <v>542400</v>
      </c>
      <c r="BQ10" s="109">
        <v>550000</v>
      </c>
    </row>
    <row r="11" spans="1:69" x14ac:dyDescent="0.2">
      <c r="A11" s="20" t="s">
        <v>13</v>
      </c>
      <c r="B11" s="21" t="s">
        <v>14</v>
      </c>
      <c r="C11" s="54">
        <v>4569</v>
      </c>
      <c r="D11" s="56">
        <v>4600</v>
      </c>
      <c r="E11" s="57">
        <v>4400</v>
      </c>
      <c r="F11" s="57">
        <v>4500</v>
      </c>
      <c r="G11" s="57">
        <v>4500</v>
      </c>
      <c r="H11" s="57">
        <v>4300</v>
      </c>
      <c r="I11" s="57">
        <v>4400</v>
      </c>
      <c r="J11" s="57">
        <v>4500</v>
      </c>
      <c r="K11" s="57">
        <v>4700</v>
      </c>
      <c r="L11" s="57">
        <v>4500</v>
      </c>
      <c r="M11" s="58">
        <v>4439</v>
      </c>
      <c r="N11" s="56">
        <v>4400</v>
      </c>
      <c r="O11" s="57">
        <v>4400</v>
      </c>
      <c r="P11" s="57">
        <v>4300</v>
      </c>
      <c r="Q11" s="57">
        <v>4300</v>
      </c>
      <c r="R11" s="57">
        <v>4200</v>
      </c>
      <c r="S11" s="57">
        <v>4200</v>
      </c>
      <c r="T11" s="57">
        <v>4100</v>
      </c>
      <c r="U11" s="57">
        <v>4100</v>
      </c>
      <c r="V11" s="57">
        <v>4100</v>
      </c>
      <c r="W11" s="58">
        <v>4057</v>
      </c>
      <c r="X11" s="56">
        <v>4064</v>
      </c>
      <c r="Y11" s="57">
        <v>4060</v>
      </c>
      <c r="Z11" s="57">
        <v>4045</v>
      </c>
      <c r="AA11" s="57">
        <v>4045</v>
      </c>
      <c r="AB11" s="57">
        <v>4046</v>
      </c>
      <c r="AC11" s="57">
        <v>4044</v>
      </c>
      <c r="AD11" s="57">
        <v>4040</v>
      </c>
      <c r="AE11" s="57">
        <v>4045</v>
      </c>
      <c r="AF11" s="57">
        <v>4053</v>
      </c>
      <c r="AG11" s="58">
        <v>4024</v>
      </c>
      <c r="AH11" s="56">
        <v>4044</v>
      </c>
      <c r="AI11" s="57">
        <v>4041</v>
      </c>
      <c r="AJ11" s="57">
        <v>4047</v>
      </c>
      <c r="AK11" s="57">
        <v>4053</v>
      </c>
      <c r="AL11" s="57">
        <v>4051</v>
      </c>
      <c r="AM11" s="57">
        <v>4051</v>
      </c>
      <c r="AN11" s="57">
        <v>4056</v>
      </c>
      <c r="AO11" s="57">
        <v>4058</v>
      </c>
      <c r="AP11" s="57">
        <v>4062</v>
      </c>
      <c r="AQ11" s="58">
        <v>4064</v>
      </c>
      <c r="AR11" s="93">
        <v>4114</v>
      </c>
      <c r="AS11" s="94">
        <v>4115</v>
      </c>
      <c r="AT11" s="94">
        <v>4111</v>
      </c>
      <c r="AU11" s="94">
        <v>4122</v>
      </c>
      <c r="AV11" s="94">
        <v>4135</v>
      </c>
      <c r="AW11" s="94">
        <v>4128</v>
      </c>
      <c r="AX11" s="94">
        <v>4095</v>
      </c>
      <c r="AY11" s="94">
        <v>4099</v>
      </c>
      <c r="AZ11" s="94">
        <v>4097</v>
      </c>
      <c r="BA11" s="58">
        <v>4078</v>
      </c>
      <c r="BB11" s="63">
        <v>4069</v>
      </c>
      <c r="BC11" s="57">
        <v>4039</v>
      </c>
      <c r="BD11" s="57">
        <v>4037</v>
      </c>
      <c r="BE11" s="64">
        <v>4003</v>
      </c>
      <c r="BF11" s="64">
        <v>4007</v>
      </c>
      <c r="BG11" s="64">
        <v>3990</v>
      </c>
      <c r="BH11" s="104">
        <v>3979</v>
      </c>
      <c r="BI11" s="104">
        <v>3970</v>
      </c>
      <c r="BJ11" s="104">
        <v>3962</v>
      </c>
      <c r="BK11" s="109">
        <v>3952</v>
      </c>
      <c r="BL11" s="124">
        <v>3950</v>
      </c>
      <c r="BM11" s="104">
        <v>3950</v>
      </c>
      <c r="BN11" s="104">
        <v>3950</v>
      </c>
      <c r="BO11" s="131">
        <v>3975</v>
      </c>
      <c r="BP11" s="131">
        <v>3950</v>
      </c>
      <c r="BQ11" s="109">
        <v>3925</v>
      </c>
    </row>
    <row r="12" spans="1:69" x14ac:dyDescent="0.2">
      <c r="A12" s="20" t="s">
        <v>15</v>
      </c>
      <c r="B12" s="21" t="s">
        <v>16</v>
      </c>
      <c r="C12" s="54">
        <v>57801</v>
      </c>
      <c r="D12" s="56">
        <v>58800</v>
      </c>
      <c r="E12" s="57">
        <v>59800</v>
      </c>
      <c r="F12" s="57">
        <v>60600</v>
      </c>
      <c r="G12" s="57">
        <v>61400</v>
      </c>
      <c r="H12" s="57">
        <v>62500</v>
      </c>
      <c r="I12" s="57">
        <v>63800</v>
      </c>
      <c r="J12" s="57">
        <v>65900</v>
      </c>
      <c r="K12" s="57">
        <v>68200</v>
      </c>
      <c r="L12" s="57">
        <v>69000</v>
      </c>
      <c r="M12" s="58">
        <v>68616</v>
      </c>
      <c r="N12" s="56">
        <v>69500</v>
      </c>
      <c r="O12" s="57">
        <v>69200</v>
      </c>
      <c r="P12" s="57">
        <v>69800</v>
      </c>
      <c r="Q12" s="57">
        <v>70900</v>
      </c>
      <c r="R12" s="57">
        <v>72100</v>
      </c>
      <c r="S12" s="57">
        <v>72400</v>
      </c>
      <c r="T12" s="57">
        <v>73700</v>
      </c>
      <c r="U12" s="57">
        <v>75700</v>
      </c>
      <c r="V12" s="57">
        <v>78000</v>
      </c>
      <c r="W12" s="58">
        <v>79548</v>
      </c>
      <c r="X12" s="56">
        <v>79609</v>
      </c>
      <c r="Y12" s="57">
        <v>78999</v>
      </c>
      <c r="Z12" s="57">
        <v>79334</v>
      </c>
      <c r="AA12" s="57">
        <v>79490</v>
      </c>
      <c r="AB12" s="57">
        <v>79259</v>
      </c>
      <c r="AC12" s="57">
        <v>78458</v>
      </c>
      <c r="AD12" s="57">
        <v>78930</v>
      </c>
      <c r="AE12" s="57">
        <v>79402</v>
      </c>
      <c r="AF12" s="57">
        <v>80867</v>
      </c>
      <c r="AG12" s="58">
        <v>82119</v>
      </c>
      <c r="AH12" s="56">
        <v>82862</v>
      </c>
      <c r="AI12" s="57">
        <v>83802</v>
      </c>
      <c r="AJ12" s="57">
        <v>84813</v>
      </c>
      <c r="AK12" s="57">
        <v>85921</v>
      </c>
      <c r="AL12" s="57">
        <v>87232</v>
      </c>
      <c r="AM12" s="57">
        <v>88531</v>
      </c>
      <c r="AN12" s="57">
        <v>89568</v>
      </c>
      <c r="AO12" s="57">
        <v>90600</v>
      </c>
      <c r="AP12" s="57">
        <v>91744</v>
      </c>
      <c r="AQ12" s="58">
        <v>92948</v>
      </c>
      <c r="AR12" s="93">
        <v>94081</v>
      </c>
      <c r="AS12" s="94">
        <v>94854</v>
      </c>
      <c r="AT12" s="94">
        <v>95849</v>
      </c>
      <c r="AU12" s="94">
        <v>96593</v>
      </c>
      <c r="AV12" s="94">
        <v>97673</v>
      </c>
      <c r="AW12" s="94">
        <v>99095</v>
      </c>
      <c r="AX12" s="94">
        <v>100377</v>
      </c>
      <c r="AY12" s="94">
        <v>101542</v>
      </c>
      <c r="AZ12" s="94">
        <v>102175</v>
      </c>
      <c r="BA12" s="58">
        <v>102410</v>
      </c>
      <c r="BB12" s="63">
        <v>102730</v>
      </c>
      <c r="BC12" s="57">
        <v>103097</v>
      </c>
      <c r="BD12" s="57">
        <v>103470</v>
      </c>
      <c r="BE12" s="64">
        <v>104043</v>
      </c>
      <c r="BF12" s="64">
        <v>104702</v>
      </c>
      <c r="BG12" s="64">
        <v>105419</v>
      </c>
      <c r="BH12" s="104">
        <v>106469</v>
      </c>
      <c r="BI12" s="104">
        <v>107782</v>
      </c>
      <c r="BJ12" s="104">
        <v>109315</v>
      </c>
      <c r="BK12" s="109">
        <v>110730</v>
      </c>
      <c r="BL12" s="124">
        <v>111500</v>
      </c>
      <c r="BM12" s="104">
        <v>112350</v>
      </c>
      <c r="BN12" s="104">
        <v>113000</v>
      </c>
      <c r="BO12" s="131">
        <v>113900</v>
      </c>
      <c r="BP12" s="131">
        <v>114500</v>
      </c>
      <c r="BQ12" s="109">
        <v>114900</v>
      </c>
    </row>
    <row r="13" spans="1:69" x14ac:dyDescent="0.2">
      <c r="A13" s="20" t="s">
        <v>17</v>
      </c>
      <c r="B13" s="21" t="s">
        <v>18</v>
      </c>
      <c r="C13" s="54">
        <v>14890</v>
      </c>
      <c r="D13" s="56">
        <v>15100</v>
      </c>
      <c r="E13" s="57">
        <v>15000</v>
      </c>
      <c r="F13" s="57">
        <v>15200</v>
      </c>
      <c r="G13" s="57">
        <v>15300</v>
      </c>
      <c r="H13" s="57">
        <v>15300</v>
      </c>
      <c r="I13" s="57">
        <v>15600</v>
      </c>
      <c r="J13" s="57">
        <v>16100</v>
      </c>
      <c r="K13" s="57">
        <v>16600</v>
      </c>
      <c r="L13" s="57">
        <v>16600</v>
      </c>
      <c r="M13" s="58">
        <v>16787</v>
      </c>
      <c r="N13" s="56">
        <v>17600</v>
      </c>
      <c r="O13" s="57">
        <v>17600</v>
      </c>
      <c r="P13" s="57">
        <v>17400</v>
      </c>
      <c r="Q13" s="57">
        <v>17800</v>
      </c>
      <c r="R13" s="57">
        <v>18300</v>
      </c>
      <c r="S13" s="57">
        <v>19400</v>
      </c>
      <c r="T13" s="57">
        <v>20200</v>
      </c>
      <c r="U13" s="57">
        <v>21200</v>
      </c>
      <c r="V13" s="57">
        <v>21600</v>
      </c>
      <c r="W13" s="58">
        <v>22144</v>
      </c>
      <c r="X13" s="56">
        <v>22469</v>
      </c>
      <c r="Y13" s="57">
        <v>22477</v>
      </c>
      <c r="Z13" s="57">
        <v>22620</v>
      </c>
      <c r="AA13" s="57">
        <v>22794</v>
      </c>
      <c r="AB13" s="57">
        <v>23206</v>
      </c>
      <c r="AC13" s="57">
        <v>23585</v>
      </c>
      <c r="AD13" s="57">
        <v>23695</v>
      </c>
      <c r="AE13" s="57">
        <v>24429</v>
      </c>
      <c r="AF13" s="57">
        <v>25060</v>
      </c>
      <c r="AG13" s="58">
        <v>26205</v>
      </c>
      <c r="AH13" s="56">
        <v>27648</v>
      </c>
      <c r="AI13" s="57">
        <v>27423</v>
      </c>
      <c r="AJ13" s="57">
        <v>28143</v>
      </c>
      <c r="AK13" s="57">
        <v>28692</v>
      </c>
      <c r="AL13" s="57">
        <v>29312</v>
      </c>
      <c r="AM13" s="57">
        <v>29967</v>
      </c>
      <c r="AN13" s="57">
        <v>30548</v>
      </c>
      <c r="AO13" s="57">
        <v>31427</v>
      </c>
      <c r="AP13" s="57">
        <v>32035</v>
      </c>
      <c r="AQ13" s="58">
        <v>32603</v>
      </c>
      <c r="AR13" s="93">
        <v>32817</v>
      </c>
      <c r="AS13" s="94">
        <v>32871</v>
      </c>
      <c r="AT13" s="94">
        <v>33545</v>
      </c>
      <c r="AU13" s="94">
        <v>33944</v>
      </c>
      <c r="AV13" s="94">
        <v>34466</v>
      </c>
      <c r="AW13" s="94">
        <v>35505</v>
      </c>
      <c r="AX13" s="94">
        <v>36340</v>
      </c>
      <c r="AY13" s="94">
        <v>37238</v>
      </c>
      <c r="AZ13" s="94">
        <v>38036</v>
      </c>
      <c r="BA13" s="58">
        <v>38431</v>
      </c>
      <c r="BB13" s="63">
        <v>38676</v>
      </c>
      <c r="BC13" s="57">
        <v>38968</v>
      </c>
      <c r="BD13" s="57">
        <v>39269</v>
      </c>
      <c r="BE13" s="64">
        <v>39557</v>
      </c>
      <c r="BF13" s="64">
        <v>40008</v>
      </c>
      <c r="BG13" s="64">
        <v>40533</v>
      </c>
      <c r="BH13" s="104">
        <v>41042</v>
      </c>
      <c r="BI13" s="104">
        <v>41570</v>
      </c>
      <c r="BJ13" s="104">
        <v>42151</v>
      </c>
      <c r="BK13" s="109">
        <v>42938</v>
      </c>
      <c r="BL13" s="124">
        <v>43550</v>
      </c>
      <c r="BM13" s="104">
        <v>44000</v>
      </c>
      <c r="BN13" s="104">
        <v>44500</v>
      </c>
      <c r="BO13" s="131">
        <v>45150</v>
      </c>
      <c r="BP13" s="131">
        <v>45450</v>
      </c>
      <c r="BQ13" s="109">
        <v>45850</v>
      </c>
    </row>
    <row r="14" spans="1:69" x14ac:dyDescent="0.2">
      <c r="A14" s="20" t="s">
        <v>19</v>
      </c>
      <c r="B14" s="21" t="s">
        <v>20</v>
      </c>
      <c r="C14" s="54">
        <v>3889</v>
      </c>
      <c r="D14" s="56">
        <v>4100</v>
      </c>
      <c r="E14" s="57">
        <v>3800</v>
      </c>
      <c r="F14" s="57">
        <v>3900</v>
      </c>
      <c r="G14" s="57">
        <v>3900</v>
      </c>
      <c r="H14" s="57">
        <v>3800</v>
      </c>
      <c r="I14" s="57">
        <v>3800</v>
      </c>
      <c r="J14" s="57">
        <v>3900</v>
      </c>
      <c r="K14" s="57">
        <v>3800</v>
      </c>
      <c r="L14" s="57">
        <v>3600</v>
      </c>
      <c r="M14" s="58">
        <v>3655</v>
      </c>
      <c r="N14" s="56">
        <v>3700</v>
      </c>
      <c r="O14" s="57">
        <v>4000</v>
      </c>
      <c r="P14" s="57">
        <v>4100</v>
      </c>
      <c r="Q14" s="57">
        <v>4400</v>
      </c>
      <c r="R14" s="57">
        <v>4600</v>
      </c>
      <c r="S14" s="57">
        <v>4800</v>
      </c>
      <c r="T14" s="57">
        <v>5147</v>
      </c>
      <c r="U14" s="57">
        <v>5300</v>
      </c>
      <c r="V14" s="57">
        <v>5700</v>
      </c>
      <c r="W14" s="58">
        <v>5811</v>
      </c>
      <c r="X14" s="56">
        <v>5930</v>
      </c>
      <c r="Y14" s="57">
        <v>6015</v>
      </c>
      <c r="Z14" s="57">
        <v>6054</v>
      </c>
      <c r="AA14" s="57">
        <v>6036</v>
      </c>
      <c r="AB14" s="57">
        <v>6016</v>
      </c>
      <c r="AC14" s="57">
        <v>6034</v>
      </c>
      <c r="AD14" s="57">
        <v>5871</v>
      </c>
      <c r="AE14" s="57">
        <v>6069</v>
      </c>
      <c r="AF14" s="57">
        <v>6150</v>
      </c>
      <c r="AG14" s="58">
        <v>6295</v>
      </c>
      <c r="AH14" s="56">
        <v>6366</v>
      </c>
      <c r="AI14" s="57">
        <v>6465</v>
      </c>
      <c r="AJ14" s="57">
        <v>6561</v>
      </c>
      <c r="AK14" s="57">
        <v>6648</v>
      </c>
      <c r="AL14" s="57">
        <v>6812</v>
      </c>
      <c r="AM14" s="57">
        <v>6950</v>
      </c>
      <c r="AN14" s="57">
        <v>7058</v>
      </c>
      <c r="AO14" s="57">
        <v>7135</v>
      </c>
      <c r="AP14" s="57">
        <v>7184</v>
      </c>
      <c r="AQ14" s="58">
        <v>7260</v>
      </c>
      <c r="AR14" s="93">
        <v>7340</v>
      </c>
      <c r="AS14" s="94">
        <v>7378</v>
      </c>
      <c r="AT14" s="94">
        <v>7397</v>
      </c>
      <c r="AU14" s="94">
        <v>7367</v>
      </c>
      <c r="AV14" s="94">
        <v>7405</v>
      </c>
      <c r="AW14" s="94">
        <v>7462</v>
      </c>
      <c r="AX14" s="94">
        <v>7484</v>
      </c>
      <c r="AY14" s="94">
        <v>7529</v>
      </c>
      <c r="AZ14" s="94">
        <v>7563</v>
      </c>
      <c r="BA14" s="58">
        <v>7551</v>
      </c>
      <c r="BB14" s="63">
        <v>7514</v>
      </c>
      <c r="BC14" s="57">
        <v>7477</v>
      </c>
      <c r="BD14" s="57">
        <v>7449</v>
      </c>
      <c r="BE14" s="64">
        <v>7404</v>
      </c>
      <c r="BF14" s="64">
        <v>7354</v>
      </c>
      <c r="BG14" s="64">
        <v>7319</v>
      </c>
      <c r="BH14" s="104">
        <v>7283</v>
      </c>
      <c r="BI14" s="104">
        <v>7234</v>
      </c>
      <c r="BJ14" s="104">
        <v>7209</v>
      </c>
      <c r="BK14" s="109">
        <v>7178</v>
      </c>
      <c r="BL14" s="124">
        <v>7250</v>
      </c>
      <c r="BM14" s="104">
        <v>7300</v>
      </c>
      <c r="BN14" s="104">
        <v>7300</v>
      </c>
      <c r="BO14" s="131">
        <v>7350</v>
      </c>
      <c r="BP14" s="131">
        <v>7350</v>
      </c>
      <c r="BQ14" s="109">
        <v>7350</v>
      </c>
    </row>
    <row r="15" spans="1:69" x14ac:dyDescent="0.2">
      <c r="A15" s="20" t="s">
        <v>21</v>
      </c>
      <c r="B15" s="21" t="s">
        <v>22</v>
      </c>
      <c r="C15" s="54">
        <v>23342</v>
      </c>
      <c r="D15" s="56">
        <v>23500</v>
      </c>
      <c r="E15" s="57">
        <v>23900</v>
      </c>
      <c r="F15" s="57">
        <v>23800</v>
      </c>
      <c r="G15" s="57">
        <v>24100</v>
      </c>
      <c r="H15" s="57">
        <v>24200</v>
      </c>
      <c r="I15" s="57">
        <v>24400</v>
      </c>
      <c r="J15" s="57">
        <v>25200</v>
      </c>
      <c r="K15" s="57">
        <v>25600</v>
      </c>
      <c r="L15" s="57">
        <v>26100</v>
      </c>
      <c r="M15" s="58">
        <v>25816</v>
      </c>
      <c r="N15" s="56">
        <v>26000</v>
      </c>
      <c r="O15" s="57">
        <v>26800</v>
      </c>
      <c r="P15" s="57">
        <v>27200</v>
      </c>
      <c r="Q15" s="57">
        <v>27400</v>
      </c>
      <c r="R15" s="57">
        <v>27100</v>
      </c>
      <c r="S15" s="57">
        <v>29300</v>
      </c>
      <c r="T15" s="57">
        <v>30300</v>
      </c>
      <c r="U15" s="57">
        <v>32300</v>
      </c>
      <c r="V15" s="57">
        <v>34000</v>
      </c>
      <c r="W15" s="58">
        <v>35025</v>
      </c>
      <c r="X15" s="56">
        <v>35742</v>
      </c>
      <c r="Y15" s="57">
        <v>36688</v>
      </c>
      <c r="Z15" s="57">
        <v>36757</v>
      </c>
      <c r="AA15" s="57">
        <v>36987</v>
      </c>
      <c r="AB15" s="57">
        <v>36584</v>
      </c>
      <c r="AC15" s="57">
        <v>36388</v>
      </c>
      <c r="AD15" s="57">
        <v>36659</v>
      </c>
      <c r="AE15" s="57">
        <v>36910</v>
      </c>
      <c r="AF15" s="57">
        <v>37221</v>
      </c>
      <c r="AG15" s="58">
        <v>37473</v>
      </c>
      <c r="AH15" s="56">
        <v>38522</v>
      </c>
      <c r="AI15" s="57">
        <v>39077</v>
      </c>
      <c r="AJ15" s="57">
        <v>40092</v>
      </c>
      <c r="AK15" s="57">
        <v>41280</v>
      </c>
      <c r="AL15" s="57">
        <v>42516</v>
      </c>
      <c r="AM15" s="57">
        <v>43694</v>
      </c>
      <c r="AN15" s="57">
        <v>45180</v>
      </c>
      <c r="AO15" s="57">
        <v>46465</v>
      </c>
      <c r="AP15" s="57">
        <v>47900</v>
      </c>
      <c r="AQ15" s="58">
        <v>49347</v>
      </c>
      <c r="AR15" s="93">
        <v>50473</v>
      </c>
      <c r="AS15" s="94">
        <v>52286</v>
      </c>
      <c r="AT15" s="94">
        <v>54907</v>
      </c>
      <c r="AU15" s="94">
        <v>58576</v>
      </c>
      <c r="AV15" s="94">
        <v>62572</v>
      </c>
      <c r="AW15" s="94">
        <v>66371</v>
      </c>
      <c r="AX15" s="94">
        <v>69582</v>
      </c>
      <c r="AY15" s="94">
        <v>72230</v>
      </c>
      <c r="AZ15" s="94">
        <v>75111</v>
      </c>
      <c r="BA15" s="58">
        <v>78163</v>
      </c>
      <c r="BB15" s="63">
        <v>80493</v>
      </c>
      <c r="BC15" s="57">
        <v>82484</v>
      </c>
      <c r="BD15" s="57">
        <v>84251</v>
      </c>
      <c r="BE15" s="64">
        <v>86544</v>
      </c>
      <c r="BF15" s="64">
        <v>87053</v>
      </c>
      <c r="BG15" s="64">
        <v>88515</v>
      </c>
      <c r="BH15" s="104">
        <v>90036</v>
      </c>
      <c r="BI15" s="104">
        <v>92626</v>
      </c>
      <c r="BJ15" s="104">
        <v>94734</v>
      </c>
      <c r="BK15" s="109">
        <v>96749</v>
      </c>
      <c r="BL15" s="124">
        <v>98350</v>
      </c>
      <c r="BM15" s="104">
        <v>99750</v>
      </c>
      <c r="BN15" s="104">
        <v>101100</v>
      </c>
      <c r="BO15" s="131">
        <v>102300</v>
      </c>
      <c r="BP15" s="131">
        <v>103250</v>
      </c>
      <c r="BQ15" s="109">
        <v>105900</v>
      </c>
    </row>
    <row r="16" spans="1:69" x14ac:dyDescent="0.2">
      <c r="A16" s="20" t="s">
        <v>23</v>
      </c>
      <c r="B16" s="21" t="s">
        <v>24</v>
      </c>
      <c r="C16" s="54">
        <v>2976</v>
      </c>
      <c r="D16" s="56">
        <v>2900</v>
      </c>
      <c r="E16" s="57">
        <v>2900</v>
      </c>
      <c r="F16" s="57">
        <v>2700</v>
      </c>
      <c r="G16" s="57">
        <v>2700</v>
      </c>
      <c r="H16" s="57">
        <v>2800</v>
      </c>
      <c r="I16" s="57">
        <v>2800</v>
      </c>
      <c r="J16" s="57">
        <v>2900</v>
      </c>
      <c r="K16" s="57">
        <v>2900</v>
      </c>
      <c r="L16" s="57">
        <v>2800</v>
      </c>
      <c r="M16" s="58">
        <v>2911</v>
      </c>
      <c r="N16" s="56">
        <v>3100</v>
      </c>
      <c r="O16" s="57">
        <v>3200</v>
      </c>
      <c r="P16" s="57">
        <v>3000</v>
      </c>
      <c r="Q16" s="57">
        <v>2800</v>
      </c>
      <c r="R16" s="57">
        <v>2800</v>
      </c>
      <c r="S16" s="57">
        <v>2900</v>
      </c>
      <c r="T16" s="57">
        <v>2900</v>
      </c>
      <c r="U16" s="57">
        <v>2700</v>
      </c>
      <c r="V16" s="57">
        <v>2600</v>
      </c>
      <c r="W16" s="58">
        <v>2468</v>
      </c>
      <c r="X16" s="56">
        <v>2466</v>
      </c>
      <c r="Y16" s="57">
        <v>2437</v>
      </c>
      <c r="Z16" s="57">
        <v>2447</v>
      </c>
      <c r="AA16" s="57">
        <v>2441</v>
      </c>
      <c r="AB16" s="57">
        <v>2418</v>
      </c>
      <c r="AC16" s="57">
        <v>2396</v>
      </c>
      <c r="AD16" s="57">
        <v>2334</v>
      </c>
      <c r="AE16" s="57">
        <v>2326</v>
      </c>
      <c r="AF16" s="57">
        <v>2253</v>
      </c>
      <c r="AG16" s="58">
        <v>2248</v>
      </c>
      <c r="AH16" s="56">
        <v>2259</v>
      </c>
      <c r="AI16" s="57">
        <v>2272</v>
      </c>
      <c r="AJ16" s="57">
        <v>2268</v>
      </c>
      <c r="AK16" s="57">
        <v>2310</v>
      </c>
      <c r="AL16" s="57">
        <v>2322</v>
      </c>
      <c r="AM16" s="57">
        <v>2344</v>
      </c>
      <c r="AN16" s="57">
        <v>2354</v>
      </c>
      <c r="AO16" s="57">
        <v>2360</v>
      </c>
      <c r="AP16" s="57">
        <v>2372</v>
      </c>
      <c r="AQ16" s="58">
        <v>2397</v>
      </c>
      <c r="AR16" s="93">
        <v>2382</v>
      </c>
      <c r="AS16" s="94">
        <v>2365</v>
      </c>
      <c r="AT16" s="94">
        <v>2348</v>
      </c>
      <c r="AU16" s="94">
        <v>2325</v>
      </c>
      <c r="AV16" s="94">
        <v>2315</v>
      </c>
      <c r="AW16" s="94">
        <v>2306</v>
      </c>
      <c r="AX16" s="94">
        <v>2287</v>
      </c>
      <c r="AY16" s="94">
        <v>2278</v>
      </c>
      <c r="AZ16" s="94">
        <v>2272</v>
      </c>
      <c r="BA16" s="58">
        <v>2266</v>
      </c>
      <c r="BB16" s="63">
        <v>2266</v>
      </c>
      <c r="BC16" s="57">
        <v>2260</v>
      </c>
      <c r="BD16" s="57">
        <v>2260</v>
      </c>
      <c r="BE16" s="64">
        <v>2252</v>
      </c>
      <c r="BF16" s="64">
        <v>2280</v>
      </c>
      <c r="BG16" s="64">
        <v>2266</v>
      </c>
      <c r="BH16" s="104">
        <v>2263</v>
      </c>
      <c r="BI16" s="104">
        <v>2269</v>
      </c>
      <c r="BJ16" s="104">
        <v>2278</v>
      </c>
      <c r="BK16" s="109">
        <v>2286</v>
      </c>
      <c r="BL16" s="124">
        <v>2300</v>
      </c>
      <c r="BM16" s="104">
        <v>2300</v>
      </c>
      <c r="BN16" s="104">
        <v>2300</v>
      </c>
      <c r="BO16" s="131">
        <v>2325</v>
      </c>
      <c r="BP16" s="131">
        <v>2300</v>
      </c>
      <c r="BQ16" s="109">
        <v>2300</v>
      </c>
    </row>
    <row r="17" spans="1:69" x14ac:dyDescent="0.2">
      <c r="A17" s="20" t="s">
        <v>25</v>
      </c>
      <c r="B17" s="21" t="s">
        <v>26</v>
      </c>
      <c r="C17" s="54">
        <v>46477</v>
      </c>
      <c r="D17" s="56">
        <v>46100</v>
      </c>
      <c r="E17" s="57">
        <v>46700</v>
      </c>
      <c r="F17" s="57">
        <v>44600</v>
      </c>
      <c r="G17" s="57">
        <v>43900</v>
      </c>
      <c r="H17" s="57">
        <v>44500</v>
      </c>
      <c r="I17" s="57">
        <v>46100</v>
      </c>
      <c r="J17" s="57">
        <v>43300</v>
      </c>
      <c r="K17" s="57">
        <v>42900</v>
      </c>
      <c r="L17" s="57">
        <v>40000</v>
      </c>
      <c r="M17" s="58">
        <v>41881</v>
      </c>
      <c r="N17" s="56">
        <v>42600</v>
      </c>
      <c r="O17" s="57">
        <v>42600</v>
      </c>
      <c r="P17" s="57">
        <v>42200</v>
      </c>
      <c r="Q17" s="57">
        <v>42200</v>
      </c>
      <c r="R17" s="57">
        <v>43200</v>
      </c>
      <c r="S17" s="57">
        <v>45100</v>
      </c>
      <c r="T17" s="57">
        <v>46100</v>
      </c>
      <c r="U17" s="57">
        <v>46500</v>
      </c>
      <c r="V17" s="57">
        <v>47400</v>
      </c>
      <c r="W17" s="58">
        <v>48522</v>
      </c>
      <c r="X17" s="56">
        <v>48524</v>
      </c>
      <c r="Y17" s="57">
        <v>48754</v>
      </c>
      <c r="Z17" s="57">
        <v>49821</v>
      </c>
      <c r="AA17" s="57">
        <v>50559</v>
      </c>
      <c r="AB17" s="57">
        <v>50805</v>
      </c>
      <c r="AC17" s="57">
        <v>51603</v>
      </c>
      <c r="AD17" s="57">
        <v>51905</v>
      </c>
      <c r="AE17" s="57">
        <v>52343</v>
      </c>
      <c r="AF17" s="57">
        <v>52644</v>
      </c>
      <c r="AG17" s="58">
        <v>54798</v>
      </c>
      <c r="AH17" s="56">
        <v>56008</v>
      </c>
      <c r="AI17" s="57">
        <v>57596</v>
      </c>
      <c r="AJ17" s="57">
        <v>59444</v>
      </c>
      <c r="AK17" s="57">
        <v>61638</v>
      </c>
      <c r="AL17" s="57">
        <v>64099</v>
      </c>
      <c r="AM17" s="57">
        <v>66484</v>
      </c>
      <c r="AN17" s="57">
        <v>68359</v>
      </c>
      <c r="AO17" s="57">
        <v>70578</v>
      </c>
      <c r="AP17" s="57">
        <v>72718</v>
      </c>
      <c r="AQ17" s="58">
        <v>74698</v>
      </c>
      <c r="AR17" s="93">
        <v>75899</v>
      </c>
      <c r="AS17" s="94">
        <v>76942</v>
      </c>
      <c r="AT17" s="94">
        <v>77493</v>
      </c>
      <c r="AU17" s="94">
        <v>78979</v>
      </c>
      <c r="AV17" s="94">
        <v>80121</v>
      </c>
      <c r="AW17" s="94">
        <v>81792</v>
      </c>
      <c r="AX17" s="94">
        <v>83729</v>
      </c>
      <c r="AY17" s="94">
        <v>85983</v>
      </c>
      <c r="AZ17" s="94">
        <v>87721</v>
      </c>
      <c r="BA17" s="58">
        <v>89120</v>
      </c>
      <c r="BB17" s="63">
        <v>89768</v>
      </c>
      <c r="BC17" s="57">
        <v>90404</v>
      </c>
      <c r="BD17" s="57">
        <v>91166</v>
      </c>
      <c r="BE17" s="64">
        <v>91862</v>
      </c>
      <c r="BF17" s="64">
        <v>92722</v>
      </c>
      <c r="BG17" s="64">
        <v>93434</v>
      </c>
      <c r="BH17" s="104">
        <v>94289</v>
      </c>
      <c r="BI17" s="104">
        <v>96214</v>
      </c>
      <c r="BJ17" s="104">
        <v>97734</v>
      </c>
      <c r="BK17" s="109">
        <v>99123</v>
      </c>
      <c r="BL17" s="124">
        <v>100800</v>
      </c>
      <c r="BM17" s="104">
        <v>101800</v>
      </c>
      <c r="BN17" s="104">
        <v>103300</v>
      </c>
      <c r="BO17" s="131">
        <v>105300</v>
      </c>
      <c r="BP17" s="131">
        <v>106250</v>
      </c>
      <c r="BQ17" s="109">
        <v>107500</v>
      </c>
    </row>
    <row r="18" spans="1:69" x14ac:dyDescent="0.2">
      <c r="A18" s="20" t="s">
        <v>27</v>
      </c>
      <c r="B18" s="21" t="s">
        <v>28</v>
      </c>
      <c r="C18" s="54">
        <v>54465</v>
      </c>
      <c r="D18" s="56">
        <v>55000</v>
      </c>
      <c r="E18" s="57">
        <v>55400</v>
      </c>
      <c r="F18" s="57">
        <v>55600</v>
      </c>
      <c r="G18" s="57">
        <v>55900</v>
      </c>
      <c r="H18" s="57">
        <v>56400</v>
      </c>
      <c r="I18" s="57">
        <v>57200</v>
      </c>
      <c r="J18" s="57">
        <v>58800</v>
      </c>
      <c r="K18" s="57">
        <v>59300</v>
      </c>
      <c r="L18" s="57">
        <v>59200</v>
      </c>
      <c r="M18" s="58">
        <v>59553</v>
      </c>
      <c r="N18" s="56">
        <v>60000</v>
      </c>
      <c r="O18" s="57">
        <v>59400</v>
      </c>
      <c r="P18" s="57">
        <v>58900</v>
      </c>
      <c r="Q18" s="57">
        <v>59900</v>
      </c>
      <c r="R18" s="57">
        <v>60400</v>
      </c>
      <c r="S18" s="57">
        <v>60200</v>
      </c>
      <c r="T18" s="57">
        <v>61400</v>
      </c>
      <c r="U18" s="57">
        <v>63100</v>
      </c>
      <c r="V18" s="57">
        <v>64400</v>
      </c>
      <c r="W18" s="58">
        <v>66314</v>
      </c>
      <c r="X18" s="56">
        <v>66273</v>
      </c>
      <c r="Y18" s="57">
        <v>65365</v>
      </c>
      <c r="Z18" s="57">
        <v>65236</v>
      </c>
      <c r="AA18" s="57">
        <v>64755</v>
      </c>
      <c r="AB18" s="57">
        <v>63870</v>
      </c>
      <c r="AC18" s="57">
        <v>62716</v>
      </c>
      <c r="AD18" s="57">
        <v>62801</v>
      </c>
      <c r="AE18" s="57">
        <v>63305</v>
      </c>
      <c r="AF18" s="57">
        <v>63922</v>
      </c>
      <c r="AG18" s="58">
        <v>64175</v>
      </c>
      <c r="AH18" s="56">
        <v>64309</v>
      </c>
      <c r="AI18" s="57">
        <v>64636</v>
      </c>
      <c r="AJ18" s="57">
        <v>64930</v>
      </c>
      <c r="AK18" s="57">
        <v>65441</v>
      </c>
      <c r="AL18" s="57">
        <v>65820</v>
      </c>
      <c r="AM18" s="57">
        <v>66172</v>
      </c>
      <c r="AN18" s="57">
        <v>66553</v>
      </c>
      <c r="AO18" s="57">
        <v>66568</v>
      </c>
      <c r="AP18" s="57">
        <v>66766</v>
      </c>
      <c r="AQ18" s="58">
        <v>67194</v>
      </c>
      <c r="AR18" s="93">
        <v>68709</v>
      </c>
      <c r="AS18" s="94">
        <v>69229</v>
      </c>
      <c r="AT18" s="94">
        <v>69445</v>
      </c>
      <c r="AU18" s="94">
        <v>70069</v>
      </c>
      <c r="AV18" s="94">
        <v>70812</v>
      </c>
      <c r="AW18" s="94">
        <v>71582</v>
      </c>
      <c r="AX18" s="94">
        <v>72038</v>
      </c>
      <c r="AY18" s="94">
        <v>72295</v>
      </c>
      <c r="AZ18" s="94">
        <v>72569</v>
      </c>
      <c r="BA18" s="58">
        <v>72797</v>
      </c>
      <c r="BB18" s="63">
        <v>72885</v>
      </c>
      <c r="BC18" s="57">
        <v>73142</v>
      </c>
      <c r="BD18" s="57">
        <v>73272</v>
      </c>
      <c r="BE18" s="64">
        <v>73499</v>
      </c>
      <c r="BF18" s="64">
        <v>73474</v>
      </c>
      <c r="BG18" s="64">
        <v>73662</v>
      </c>
      <c r="BH18" s="104">
        <v>73910</v>
      </c>
      <c r="BI18" s="104">
        <v>74407</v>
      </c>
      <c r="BJ18" s="104">
        <v>75145</v>
      </c>
      <c r="BK18" s="109">
        <v>75636</v>
      </c>
      <c r="BL18" s="124">
        <v>76050</v>
      </c>
      <c r="BM18" s="104">
        <v>76400</v>
      </c>
      <c r="BN18" s="104">
        <v>77000</v>
      </c>
      <c r="BO18" s="131">
        <v>77400</v>
      </c>
      <c r="BP18" s="131">
        <v>77750</v>
      </c>
      <c r="BQ18" s="109">
        <v>78150</v>
      </c>
    </row>
    <row r="19" spans="1:69" x14ac:dyDescent="0.2">
      <c r="A19" s="20" t="s">
        <v>29</v>
      </c>
      <c r="B19" s="21" t="s">
        <v>30</v>
      </c>
      <c r="C19" s="54">
        <v>19638</v>
      </c>
      <c r="D19" s="56">
        <v>20300</v>
      </c>
      <c r="E19" s="57">
        <v>20900</v>
      </c>
      <c r="F19" s="57">
        <v>21100</v>
      </c>
      <c r="G19" s="57">
        <v>21700</v>
      </c>
      <c r="H19" s="57">
        <v>22400</v>
      </c>
      <c r="I19" s="57">
        <v>23100</v>
      </c>
      <c r="J19" s="57">
        <v>24200</v>
      </c>
      <c r="K19" s="57">
        <v>25000</v>
      </c>
      <c r="L19" s="57">
        <v>25700</v>
      </c>
      <c r="M19" s="58">
        <v>27011</v>
      </c>
      <c r="N19" s="56">
        <v>27400</v>
      </c>
      <c r="O19" s="57">
        <v>29500</v>
      </c>
      <c r="P19" s="57">
        <v>31600</v>
      </c>
      <c r="Q19" s="57">
        <v>33200</v>
      </c>
      <c r="R19" s="57">
        <v>34700</v>
      </c>
      <c r="S19" s="57">
        <v>36300</v>
      </c>
      <c r="T19" s="57">
        <v>37528</v>
      </c>
      <c r="U19" s="57">
        <v>41200</v>
      </c>
      <c r="V19" s="57">
        <v>42200</v>
      </c>
      <c r="W19" s="58">
        <v>44048</v>
      </c>
      <c r="X19" s="56">
        <v>45443</v>
      </c>
      <c r="Y19" s="57">
        <v>46559</v>
      </c>
      <c r="Z19" s="57">
        <v>47551</v>
      </c>
      <c r="AA19" s="57">
        <v>48225</v>
      </c>
      <c r="AB19" s="57">
        <v>49661</v>
      </c>
      <c r="AC19" s="57">
        <v>51024</v>
      </c>
      <c r="AD19" s="57">
        <v>52436</v>
      </c>
      <c r="AE19" s="57">
        <v>54370</v>
      </c>
      <c r="AF19" s="57">
        <v>56523</v>
      </c>
      <c r="AG19" s="58">
        <v>60195</v>
      </c>
      <c r="AH19" s="56">
        <v>62176</v>
      </c>
      <c r="AI19" s="57">
        <v>63289</v>
      </c>
      <c r="AJ19" s="57">
        <v>64303</v>
      </c>
      <c r="AK19" s="57">
        <v>65139</v>
      </c>
      <c r="AL19" s="57">
        <v>66378</v>
      </c>
      <c r="AM19" s="57">
        <v>67308</v>
      </c>
      <c r="AN19" s="57">
        <v>68536</v>
      </c>
      <c r="AO19" s="57">
        <v>69609</v>
      </c>
      <c r="AP19" s="57">
        <v>70629</v>
      </c>
      <c r="AQ19" s="58">
        <v>71558</v>
      </c>
      <c r="AR19" s="93">
        <v>72062</v>
      </c>
      <c r="AS19" s="94">
        <v>73151</v>
      </c>
      <c r="AT19" s="94">
        <v>73630</v>
      </c>
      <c r="AU19" s="94">
        <v>74549</v>
      </c>
      <c r="AV19" s="94">
        <v>75951</v>
      </c>
      <c r="AW19" s="94">
        <v>77189</v>
      </c>
      <c r="AX19" s="94">
        <v>78225</v>
      </c>
      <c r="AY19" s="94">
        <v>78544</v>
      </c>
      <c r="AZ19" s="94">
        <v>78737</v>
      </c>
      <c r="BA19" s="58">
        <v>78506</v>
      </c>
      <c r="BB19" s="63">
        <v>79209</v>
      </c>
      <c r="BC19" s="57">
        <v>79926</v>
      </c>
      <c r="BD19" s="57">
        <v>80141</v>
      </c>
      <c r="BE19" s="64">
        <v>80810</v>
      </c>
      <c r="BF19" s="64">
        <v>81684</v>
      </c>
      <c r="BG19" s="64">
        <v>82759</v>
      </c>
      <c r="BH19" s="104">
        <v>84125</v>
      </c>
      <c r="BI19" s="104">
        <v>85072</v>
      </c>
      <c r="BJ19" s="104">
        <v>85847</v>
      </c>
      <c r="BK19" s="109">
        <v>86857</v>
      </c>
      <c r="BL19" s="124">
        <v>87100</v>
      </c>
      <c r="BM19" s="104">
        <v>87700</v>
      </c>
      <c r="BN19" s="104">
        <v>88150</v>
      </c>
      <c r="BO19" s="131">
        <v>88650</v>
      </c>
      <c r="BP19" s="131">
        <v>88700</v>
      </c>
      <c r="BQ19" s="109">
        <v>89000</v>
      </c>
    </row>
    <row r="20" spans="1:69" x14ac:dyDescent="0.2">
      <c r="A20" s="20" t="s">
        <v>31</v>
      </c>
      <c r="B20" s="21" t="s">
        <v>32</v>
      </c>
      <c r="C20" s="54">
        <v>9639</v>
      </c>
      <c r="D20" s="56">
        <v>9800</v>
      </c>
      <c r="E20" s="57">
        <v>9700</v>
      </c>
      <c r="F20" s="57">
        <v>9800</v>
      </c>
      <c r="G20" s="57">
        <v>9900</v>
      </c>
      <c r="H20" s="57">
        <v>9800</v>
      </c>
      <c r="I20" s="57">
        <v>10000</v>
      </c>
      <c r="J20" s="57">
        <v>10300</v>
      </c>
      <c r="K20" s="57">
        <v>10700</v>
      </c>
      <c r="L20" s="57">
        <v>10200</v>
      </c>
      <c r="M20" s="58">
        <v>10661</v>
      </c>
      <c r="N20" s="56">
        <v>10600</v>
      </c>
      <c r="O20" s="57">
        <v>10600</v>
      </c>
      <c r="P20" s="57">
        <v>10700</v>
      </c>
      <c r="Q20" s="57">
        <v>11300</v>
      </c>
      <c r="R20" s="57">
        <v>11800</v>
      </c>
      <c r="S20" s="57">
        <v>12300</v>
      </c>
      <c r="T20" s="57">
        <v>12800</v>
      </c>
      <c r="U20" s="57">
        <v>13900</v>
      </c>
      <c r="V20" s="57">
        <v>14800</v>
      </c>
      <c r="W20" s="58">
        <v>15965</v>
      </c>
      <c r="X20" s="56">
        <v>16736</v>
      </c>
      <c r="Y20" s="57">
        <v>17017</v>
      </c>
      <c r="Z20" s="57">
        <v>16925</v>
      </c>
      <c r="AA20" s="57">
        <v>17480</v>
      </c>
      <c r="AB20" s="57">
        <v>17873</v>
      </c>
      <c r="AC20" s="57">
        <v>18317</v>
      </c>
      <c r="AD20" s="57">
        <v>18533</v>
      </c>
      <c r="AE20" s="57">
        <v>19131</v>
      </c>
      <c r="AF20" s="57">
        <v>19673</v>
      </c>
      <c r="AG20" s="58">
        <v>20406</v>
      </c>
      <c r="AH20" s="56">
        <v>21144</v>
      </c>
      <c r="AI20" s="57">
        <v>21940</v>
      </c>
      <c r="AJ20" s="57">
        <v>22641</v>
      </c>
      <c r="AK20" s="57">
        <v>23313</v>
      </c>
      <c r="AL20" s="57">
        <v>23950</v>
      </c>
      <c r="AM20" s="57">
        <v>24412</v>
      </c>
      <c r="AN20" s="57">
        <v>24925</v>
      </c>
      <c r="AO20" s="57">
        <v>25322</v>
      </c>
      <c r="AP20" s="57">
        <v>25865</v>
      </c>
      <c r="AQ20" s="58">
        <v>26299</v>
      </c>
      <c r="AR20" s="93">
        <v>26665</v>
      </c>
      <c r="AS20" s="94">
        <v>27143</v>
      </c>
      <c r="AT20" s="94">
        <v>27343</v>
      </c>
      <c r="AU20" s="94">
        <v>27738</v>
      </c>
      <c r="AV20" s="94">
        <v>28356</v>
      </c>
      <c r="AW20" s="94">
        <v>28847</v>
      </c>
      <c r="AX20" s="94">
        <v>29244</v>
      </c>
      <c r="AY20" s="94">
        <v>29634</v>
      </c>
      <c r="AZ20" s="94">
        <v>29773</v>
      </c>
      <c r="BA20" s="58">
        <v>29872</v>
      </c>
      <c r="BB20" s="63">
        <v>30184</v>
      </c>
      <c r="BC20" s="57">
        <v>30424</v>
      </c>
      <c r="BD20" s="57">
        <v>30592</v>
      </c>
      <c r="BE20" s="64">
        <v>30983</v>
      </c>
      <c r="BF20" s="64">
        <v>31266</v>
      </c>
      <c r="BG20" s="64">
        <v>31705</v>
      </c>
      <c r="BH20" s="104">
        <v>32000</v>
      </c>
      <c r="BI20" s="104">
        <v>32315</v>
      </c>
      <c r="BJ20" s="104">
        <v>32683</v>
      </c>
      <c r="BK20" s="109">
        <v>32977</v>
      </c>
      <c r="BL20" s="124">
        <v>33100</v>
      </c>
      <c r="BM20" s="104">
        <v>33350</v>
      </c>
      <c r="BN20" s="104">
        <v>33425</v>
      </c>
      <c r="BO20" s="131">
        <v>33700</v>
      </c>
      <c r="BP20" s="131">
        <v>33825</v>
      </c>
      <c r="BQ20" s="109">
        <v>34100</v>
      </c>
    </row>
    <row r="21" spans="1:69" x14ac:dyDescent="0.2">
      <c r="A21" s="20" t="s">
        <v>33</v>
      </c>
      <c r="B21" s="21" t="s">
        <v>34</v>
      </c>
      <c r="C21" s="54">
        <v>935014</v>
      </c>
      <c r="D21" s="56">
        <v>952300</v>
      </c>
      <c r="E21" s="57">
        <v>971600</v>
      </c>
      <c r="F21" s="57">
        <v>984400</v>
      </c>
      <c r="G21" s="57">
        <v>1000200</v>
      </c>
      <c r="H21" s="57">
        <v>1024000</v>
      </c>
      <c r="I21" s="57">
        <v>1047500</v>
      </c>
      <c r="J21" s="57">
        <v>1098500</v>
      </c>
      <c r="K21" s="57">
        <v>1150000</v>
      </c>
      <c r="L21" s="57">
        <v>1161000</v>
      </c>
      <c r="M21" s="58">
        <v>1159375</v>
      </c>
      <c r="N21" s="56">
        <v>1151500</v>
      </c>
      <c r="O21" s="57">
        <v>1145900</v>
      </c>
      <c r="P21" s="57">
        <v>1145400</v>
      </c>
      <c r="Q21" s="57">
        <v>1151200</v>
      </c>
      <c r="R21" s="57">
        <v>1155300</v>
      </c>
      <c r="S21" s="57">
        <v>1155900</v>
      </c>
      <c r="T21" s="57">
        <v>1167500</v>
      </c>
      <c r="U21" s="57">
        <v>1191100</v>
      </c>
      <c r="V21" s="57">
        <v>1228300</v>
      </c>
      <c r="W21" s="58">
        <v>1269898</v>
      </c>
      <c r="X21" s="56">
        <v>1301899</v>
      </c>
      <c r="Y21" s="57">
        <v>1318674</v>
      </c>
      <c r="Z21" s="57">
        <v>1317477</v>
      </c>
      <c r="AA21" s="57">
        <v>1333873</v>
      </c>
      <c r="AB21" s="57">
        <v>1356552</v>
      </c>
      <c r="AC21" s="57">
        <v>1376073</v>
      </c>
      <c r="AD21" s="57">
        <v>1400194</v>
      </c>
      <c r="AE21" s="57">
        <v>1428605</v>
      </c>
      <c r="AF21" s="57">
        <v>1463301</v>
      </c>
      <c r="AG21" s="58">
        <v>1507305</v>
      </c>
      <c r="AH21" s="56">
        <v>1549991</v>
      </c>
      <c r="AI21" s="57">
        <v>1570997</v>
      </c>
      <c r="AJ21" s="57">
        <v>1590603</v>
      </c>
      <c r="AK21" s="57">
        <v>1609529</v>
      </c>
      <c r="AL21" s="57">
        <v>1625241</v>
      </c>
      <c r="AM21" s="57">
        <v>1640249</v>
      </c>
      <c r="AN21" s="57">
        <v>1659106</v>
      </c>
      <c r="AO21" s="57">
        <v>1686266</v>
      </c>
      <c r="AP21" s="57">
        <v>1712122</v>
      </c>
      <c r="AQ21" s="58">
        <v>1737046</v>
      </c>
      <c r="AR21" s="93">
        <v>1755487</v>
      </c>
      <c r="AS21" s="94">
        <v>1777514</v>
      </c>
      <c r="AT21" s="94">
        <v>1788082</v>
      </c>
      <c r="AU21" s="94">
        <v>1800783</v>
      </c>
      <c r="AV21" s="94">
        <v>1814999</v>
      </c>
      <c r="AW21" s="94">
        <v>1845209</v>
      </c>
      <c r="AX21" s="94">
        <v>1871098</v>
      </c>
      <c r="AY21" s="94">
        <v>1891125</v>
      </c>
      <c r="AZ21" s="94">
        <v>1909205</v>
      </c>
      <c r="BA21" s="58">
        <v>1931249</v>
      </c>
      <c r="BB21" s="63">
        <v>1945686</v>
      </c>
      <c r="BC21" s="57">
        <v>1956755</v>
      </c>
      <c r="BD21" s="57">
        <v>1983550</v>
      </c>
      <c r="BE21" s="64">
        <v>2021027</v>
      </c>
      <c r="BF21" s="64">
        <v>2061981</v>
      </c>
      <c r="BG21" s="64">
        <v>2118958</v>
      </c>
      <c r="BH21" s="104">
        <v>2149910</v>
      </c>
      <c r="BI21" s="104">
        <v>2187460</v>
      </c>
      <c r="BJ21" s="104">
        <v>2227755</v>
      </c>
      <c r="BK21" s="109">
        <v>2269675</v>
      </c>
      <c r="BL21" s="124">
        <v>2287050</v>
      </c>
      <c r="BM21" s="104">
        <v>2317700</v>
      </c>
      <c r="BN21" s="104">
        <v>2347800</v>
      </c>
      <c r="BO21" s="131">
        <v>2378100</v>
      </c>
      <c r="BP21" s="131">
        <v>2411700</v>
      </c>
      <c r="BQ21" s="109">
        <v>2424700</v>
      </c>
    </row>
    <row r="22" spans="1:69" x14ac:dyDescent="0.2">
      <c r="A22" s="20" t="s">
        <v>36</v>
      </c>
      <c r="B22" s="21" t="s">
        <v>37</v>
      </c>
      <c r="C22" s="54">
        <v>84176</v>
      </c>
      <c r="D22" s="56">
        <v>85500</v>
      </c>
      <c r="E22" s="57">
        <v>86700</v>
      </c>
      <c r="F22" s="57">
        <v>87400</v>
      </c>
      <c r="G22" s="57">
        <v>88100</v>
      </c>
      <c r="H22" s="57">
        <v>89800</v>
      </c>
      <c r="I22" s="57">
        <v>91600</v>
      </c>
      <c r="J22" s="57">
        <v>93300</v>
      </c>
      <c r="K22" s="57">
        <v>96200</v>
      </c>
      <c r="L22" s="57">
        <v>103000</v>
      </c>
      <c r="M22" s="58">
        <v>101732</v>
      </c>
      <c r="N22" s="56">
        <v>100100</v>
      </c>
      <c r="O22" s="57">
        <v>99600</v>
      </c>
      <c r="P22" s="57">
        <v>101000</v>
      </c>
      <c r="Q22" s="57">
        <v>105900</v>
      </c>
      <c r="R22" s="57">
        <v>116090</v>
      </c>
      <c r="S22" s="57">
        <v>121600</v>
      </c>
      <c r="T22" s="57">
        <v>128300</v>
      </c>
      <c r="U22" s="57">
        <v>131700</v>
      </c>
      <c r="V22" s="57">
        <v>137800</v>
      </c>
      <c r="W22" s="58">
        <v>147152</v>
      </c>
      <c r="X22" s="56">
        <v>155660</v>
      </c>
      <c r="Y22" s="57">
        <v>156730</v>
      </c>
      <c r="Z22" s="57">
        <v>161021</v>
      </c>
      <c r="AA22" s="57">
        <v>163495</v>
      </c>
      <c r="AB22" s="57">
        <v>168709</v>
      </c>
      <c r="AC22" s="57">
        <v>167429</v>
      </c>
      <c r="AD22" s="57">
        <v>172008</v>
      </c>
      <c r="AE22" s="57">
        <v>179365</v>
      </c>
      <c r="AF22" s="57">
        <v>183150</v>
      </c>
      <c r="AG22" s="58">
        <v>189731</v>
      </c>
      <c r="AH22" s="56">
        <v>196926</v>
      </c>
      <c r="AI22" s="57">
        <v>202113</v>
      </c>
      <c r="AJ22" s="57">
        <v>207976</v>
      </c>
      <c r="AK22" s="57">
        <v>212429</v>
      </c>
      <c r="AL22" s="57">
        <v>218308</v>
      </c>
      <c r="AM22" s="57">
        <v>221849</v>
      </c>
      <c r="AN22" s="57">
        <v>225251</v>
      </c>
      <c r="AO22" s="57">
        <v>227179</v>
      </c>
      <c r="AP22" s="57">
        <v>229569</v>
      </c>
      <c r="AQ22" s="58">
        <v>231969</v>
      </c>
      <c r="AR22" s="93">
        <v>233918</v>
      </c>
      <c r="AS22" s="94">
        <v>236656</v>
      </c>
      <c r="AT22" s="94">
        <v>239443</v>
      </c>
      <c r="AU22" s="94">
        <v>240777</v>
      </c>
      <c r="AV22" s="94">
        <v>239819</v>
      </c>
      <c r="AW22" s="94">
        <v>244049</v>
      </c>
      <c r="AX22" s="94">
        <v>247476</v>
      </c>
      <c r="AY22" s="94">
        <v>249905</v>
      </c>
      <c r="AZ22" s="94">
        <v>251249</v>
      </c>
      <c r="BA22" s="58">
        <v>251133</v>
      </c>
      <c r="BB22" s="63">
        <v>250422</v>
      </c>
      <c r="BC22" s="57">
        <v>252907</v>
      </c>
      <c r="BD22" s="57">
        <v>253217</v>
      </c>
      <c r="BE22" s="64">
        <v>255971</v>
      </c>
      <c r="BF22" s="64">
        <v>259034</v>
      </c>
      <c r="BG22" s="64">
        <v>263471</v>
      </c>
      <c r="BH22" s="104">
        <v>265268</v>
      </c>
      <c r="BI22" s="104">
        <v>269280</v>
      </c>
      <c r="BJ22" s="104">
        <v>272342</v>
      </c>
      <c r="BK22" s="109">
        <v>275611</v>
      </c>
      <c r="BL22" s="124">
        <v>277700</v>
      </c>
      <c r="BM22" s="104">
        <v>280900</v>
      </c>
      <c r="BN22" s="104">
        <v>283200</v>
      </c>
      <c r="BO22" s="131">
        <v>286100</v>
      </c>
      <c r="BP22" s="131">
        <v>288900</v>
      </c>
      <c r="BQ22" s="109">
        <v>291800</v>
      </c>
    </row>
    <row r="23" spans="1:69" x14ac:dyDescent="0.2">
      <c r="A23" s="20" t="s">
        <v>38</v>
      </c>
      <c r="B23" s="21" t="s">
        <v>39</v>
      </c>
      <c r="C23" s="54">
        <v>20467</v>
      </c>
      <c r="D23" s="56">
        <v>20900</v>
      </c>
      <c r="E23" s="57">
        <v>21200</v>
      </c>
      <c r="F23" s="57">
        <v>21700</v>
      </c>
      <c r="G23" s="57">
        <v>22000</v>
      </c>
      <c r="H23" s="57">
        <v>22400</v>
      </c>
      <c r="I23" s="57">
        <v>22800</v>
      </c>
      <c r="J23" s="57">
        <v>23600</v>
      </c>
      <c r="K23" s="57">
        <v>24600</v>
      </c>
      <c r="L23" s="57">
        <v>24700</v>
      </c>
      <c r="M23" s="58">
        <v>25039</v>
      </c>
      <c r="N23" s="56">
        <v>25500</v>
      </c>
      <c r="O23" s="57">
        <v>25300</v>
      </c>
      <c r="P23" s="57">
        <v>24600</v>
      </c>
      <c r="Q23" s="57">
        <v>24500</v>
      </c>
      <c r="R23" s="57">
        <v>24700</v>
      </c>
      <c r="S23" s="57">
        <v>25100</v>
      </c>
      <c r="T23" s="57">
        <v>25000</v>
      </c>
      <c r="U23" s="57">
        <v>24800</v>
      </c>
      <c r="V23" s="57">
        <v>24600</v>
      </c>
      <c r="W23" s="58">
        <v>24877</v>
      </c>
      <c r="X23" s="56">
        <v>25111</v>
      </c>
      <c r="Y23" s="57">
        <v>25119</v>
      </c>
      <c r="Z23" s="57">
        <v>25336</v>
      </c>
      <c r="AA23" s="57">
        <v>25345</v>
      </c>
      <c r="AB23" s="57">
        <v>25407</v>
      </c>
      <c r="AC23" s="57">
        <v>25272</v>
      </c>
      <c r="AD23" s="57">
        <v>25408</v>
      </c>
      <c r="AE23" s="57">
        <v>25842</v>
      </c>
      <c r="AF23" s="57">
        <v>26029</v>
      </c>
      <c r="AG23" s="58">
        <v>26725</v>
      </c>
      <c r="AH23" s="56">
        <v>27203</v>
      </c>
      <c r="AI23" s="57">
        <v>27684</v>
      </c>
      <c r="AJ23" s="57">
        <v>28295</v>
      </c>
      <c r="AK23" s="57">
        <v>28938</v>
      </c>
      <c r="AL23" s="57">
        <v>29791</v>
      </c>
      <c r="AM23" s="57">
        <v>30372</v>
      </c>
      <c r="AN23" s="57">
        <v>30989</v>
      </c>
      <c r="AO23" s="57">
        <v>31845</v>
      </c>
      <c r="AP23" s="57">
        <v>32916</v>
      </c>
      <c r="AQ23" s="58">
        <v>33362</v>
      </c>
      <c r="AR23" s="93">
        <v>33936</v>
      </c>
      <c r="AS23" s="94">
        <v>34507</v>
      </c>
      <c r="AT23" s="94">
        <v>35474</v>
      </c>
      <c r="AU23" s="94">
        <v>36773</v>
      </c>
      <c r="AV23" s="94">
        <v>37660</v>
      </c>
      <c r="AW23" s="94">
        <v>38175</v>
      </c>
      <c r="AX23" s="94">
        <v>39134</v>
      </c>
      <c r="AY23" s="94">
        <v>40142</v>
      </c>
      <c r="AZ23" s="94">
        <v>40710</v>
      </c>
      <c r="BA23" s="58">
        <v>40915</v>
      </c>
      <c r="BB23" s="63">
        <v>41271</v>
      </c>
      <c r="BC23" s="57">
        <v>41410</v>
      </c>
      <c r="BD23" s="57">
        <v>41444</v>
      </c>
      <c r="BE23" s="64">
        <v>42088</v>
      </c>
      <c r="BF23" s="64">
        <v>42381</v>
      </c>
      <c r="BG23" s="64">
        <v>43263</v>
      </c>
      <c r="BH23" s="104">
        <v>43919</v>
      </c>
      <c r="BI23" s="104">
        <v>44395</v>
      </c>
      <c r="BJ23" s="104">
        <v>45180</v>
      </c>
      <c r="BK23" s="109">
        <v>46468</v>
      </c>
      <c r="BL23" s="124">
        <v>45225</v>
      </c>
      <c r="BM23" s="104">
        <v>47200</v>
      </c>
      <c r="BN23" s="104">
        <v>47300</v>
      </c>
      <c r="BO23" s="131">
        <v>48600</v>
      </c>
      <c r="BP23" s="131">
        <v>48950</v>
      </c>
      <c r="BQ23" s="109">
        <v>49250</v>
      </c>
    </row>
    <row r="24" spans="1:69" x14ac:dyDescent="0.2">
      <c r="A24" s="20" t="s">
        <v>40</v>
      </c>
      <c r="B24" s="21" t="s">
        <v>41</v>
      </c>
      <c r="C24" s="54">
        <v>13455</v>
      </c>
      <c r="D24" s="56">
        <v>13300</v>
      </c>
      <c r="E24" s="57">
        <v>13300</v>
      </c>
      <c r="F24" s="57">
        <v>13100</v>
      </c>
      <c r="G24" s="57">
        <v>12900</v>
      </c>
      <c r="H24" s="57">
        <v>12900</v>
      </c>
      <c r="I24" s="57">
        <v>12500</v>
      </c>
      <c r="J24" s="57">
        <v>12600</v>
      </c>
      <c r="K24" s="57">
        <v>12600</v>
      </c>
      <c r="L24" s="57">
        <v>12500</v>
      </c>
      <c r="M24" s="58">
        <v>12138</v>
      </c>
      <c r="N24" s="56">
        <v>12600</v>
      </c>
      <c r="O24" s="57">
        <v>12600</v>
      </c>
      <c r="P24" s="57">
        <v>12700</v>
      </c>
      <c r="Q24" s="57">
        <v>12800</v>
      </c>
      <c r="R24" s="57">
        <v>13400</v>
      </c>
      <c r="S24" s="57">
        <v>13600</v>
      </c>
      <c r="T24" s="57">
        <v>14000</v>
      </c>
      <c r="U24" s="57">
        <v>14600</v>
      </c>
      <c r="V24" s="57">
        <v>15200</v>
      </c>
      <c r="W24" s="58">
        <v>15822</v>
      </c>
      <c r="X24" s="56">
        <v>16174</v>
      </c>
      <c r="Y24" s="57">
        <v>16199</v>
      </c>
      <c r="Z24" s="57">
        <v>16259</v>
      </c>
      <c r="AA24" s="57">
        <v>16315</v>
      </c>
      <c r="AB24" s="57">
        <v>16504</v>
      </c>
      <c r="AC24" s="57">
        <v>16155</v>
      </c>
      <c r="AD24" s="57">
        <v>16033</v>
      </c>
      <c r="AE24" s="57">
        <v>16061</v>
      </c>
      <c r="AF24" s="57">
        <v>16242</v>
      </c>
      <c r="AG24" s="58">
        <v>16616</v>
      </c>
      <c r="AH24" s="56">
        <v>16770</v>
      </c>
      <c r="AI24" s="57">
        <v>16858</v>
      </c>
      <c r="AJ24" s="57">
        <v>17067</v>
      </c>
      <c r="AK24" s="57">
        <v>17295</v>
      </c>
      <c r="AL24" s="57">
        <v>17603</v>
      </c>
      <c r="AM24" s="57">
        <v>17926</v>
      </c>
      <c r="AN24" s="57">
        <v>18244</v>
      </c>
      <c r="AO24" s="57">
        <v>18573</v>
      </c>
      <c r="AP24" s="57">
        <v>18894</v>
      </c>
      <c r="AQ24" s="58">
        <v>19161</v>
      </c>
      <c r="AR24" s="93">
        <v>19284</v>
      </c>
      <c r="AS24" s="94">
        <v>19364</v>
      </c>
      <c r="AT24" s="94">
        <v>19463</v>
      </c>
      <c r="AU24" s="94">
        <v>19652</v>
      </c>
      <c r="AV24" s="94">
        <v>19753</v>
      </c>
      <c r="AW24" s="94">
        <v>19979</v>
      </c>
      <c r="AX24" s="94">
        <v>20108</v>
      </c>
      <c r="AY24" s="94">
        <v>20216</v>
      </c>
      <c r="AZ24" s="94">
        <v>20256</v>
      </c>
      <c r="BA24" s="58">
        <v>20318</v>
      </c>
      <c r="BB24" s="63">
        <v>20530</v>
      </c>
      <c r="BC24" s="57">
        <v>20677</v>
      </c>
      <c r="BD24" s="57">
        <v>20805</v>
      </c>
      <c r="BE24" s="64">
        <v>21031</v>
      </c>
      <c r="BF24" s="64">
        <v>21210</v>
      </c>
      <c r="BG24" s="64">
        <v>21496</v>
      </c>
      <c r="BH24" s="104">
        <v>21804</v>
      </c>
      <c r="BI24" s="104">
        <v>22087</v>
      </c>
      <c r="BJ24" s="104">
        <v>22443</v>
      </c>
      <c r="BK24" s="109">
        <v>22735</v>
      </c>
      <c r="BL24" s="124">
        <v>23000</v>
      </c>
      <c r="BM24" s="104">
        <v>23150</v>
      </c>
      <c r="BN24" s="104">
        <v>23250</v>
      </c>
      <c r="BO24" s="131">
        <v>23450</v>
      </c>
      <c r="BP24" s="131">
        <v>23600</v>
      </c>
      <c r="BQ24" s="109">
        <v>23700</v>
      </c>
    </row>
    <row r="25" spans="1:69" x14ac:dyDescent="0.2">
      <c r="A25" s="20" t="s">
        <v>42</v>
      </c>
      <c r="B25" s="21" t="s">
        <v>43</v>
      </c>
      <c r="C25" s="54">
        <v>41858</v>
      </c>
      <c r="D25" s="56">
        <v>42300</v>
      </c>
      <c r="E25" s="57">
        <v>42500</v>
      </c>
      <c r="F25" s="57">
        <v>42500</v>
      </c>
      <c r="G25" s="57">
        <v>42400</v>
      </c>
      <c r="H25" s="57">
        <v>42900</v>
      </c>
      <c r="I25" s="57">
        <v>43400</v>
      </c>
      <c r="J25" s="57">
        <v>44200</v>
      </c>
      <c r="K25" s="57">
        <v>45300</v>
      </c>
      <c r="L25" s="57">
        <v>45700</v>
      </c>
      <c r="M25" s="58">
        <v>45467</v>
      </c>
      <c r="N25" s="56">
        <v>46200</v>
      </c>
      <c r="O25" s="57">
        <v>46400</v>
      </c>
      <c r="P25" s="57">
        <v>47000</v>
      </c>
      <c r="Q25" s="57">
        <v>47500</v>
      </c>
      <c r="R25" s="57">
        <v>48700</v>
      </c>
      <c r="S25" s="57">
        <v>49100</v>
      </c>
      <c r="T25" s="57">
        <v>50200</v>
      </c>
      <c r="U25" s="57">
        <v>51500</v>
      </c>
      <c r="V25" s="57">
        <v>53500</v>
      </c>
      <c r="W25" s="58">
        <v>56025</v>
      </c>
      <c r="X25" s="56">
        <v>56084</v>
      </c>
      <c r="Y25" s="57">
        <v>56114</v>
      </c>
      <c r="Z25" s="57">
        <v>55971</v>
      </c>
      <c r="AA25" s="57">
        <v>56774</v>
      </c>
      <c r="AB25" s="57">
        <v>56592</v>
      </c>
      <c r="AC25" s="57">
        <v>56733</v>
      </c>
      <c r="AD25" s="57">
        <v>57143</v>
      </c>
      <c r="AE25" s="57">
        <v>57852</v>
      </c>
      <c r="AF25" s="57">
        <v>58499</v>
      </c>
      <c r="AG25" s="58">
        <v>59358</v>
      </c>
      <c r="AH25" s="56">
        <v>59975</v>
      </c>
      <c r="AI25" s="57">
        <v>60662</v>
      </c>
      <c r="AJ25" s="57">
        <v>61523</v>
      </c>
      <c r="AK25" s="57">
        <v>62456</v>
      </c>
      <c r="AL25" s="57">
        <v>63835</v>
      </c>
      <c r="AM25" s="57">
        <v>65043</v>
      </c>
      <c r="AN25" s="57">
        <v>66182</v>
      </c>
      <c r="AO25" s="57">
        <v>67119</v>
      </c>
      <c r="AP25" s="57">
        <v>67830</v>
      </c>
      <c r="AQ25" s="58">
        <v>68600</v>
      </c>
      <c r="AR25" s="93">
        <v>69372</v>
      </c>
      <c r="AS25" s="94">
        <v>70098</v>
      </c>
      <c r="AT25" s="94">
        <v>70395</v>
      </c>
      <c r="AU25" s="94">
        <v>71063</v>
      </c>
      <c r="AV25" s="94">
        <v>71771</v>
      </c>
      <c r="AW25" s="94">
        <v>73041</v>
      </c>
      <c r="AX25" s="94">
        <v>74026</v>
      </c>
      <c r="AY25" s="94">
        <v>74843</v>
      </c>
      <c r="AZ25" s="94">
        <v>75305</v>
      </c>
      <c r="BA25" s="58">
        <v>75455</v>
      </c>
      <c r="BB25" s="63">
        <v>76299</v>
      </c>
      <c r="BC25" s="57">
        <v>76765</v>
      </c>
      <c r="BD25" s="57">
        <v>76966</v>
      </c>
      <c r="BE25" s="64">
        <v>77563</v>
      </c>
      <c r="BF25" s="64">
        <v>78006</v>
      </c>
      <c r="BG25" s="64">
        <v>78556</v>
      </c>
      <c r="BH25" s="104">
        <v>79477</v>
      </c>
      <c r="BI25" s="104">
        <v>80250</v>
      </c>
      <c r="BJ25" s="104">
        <v>81151</v>
      </c>
      <c r="BK25" s="109">
        <v>82149</v>
      </c>
      <c r="BL25" s="124">
        <v>82700</v>
      </c>
      <c r="BM25" s="104">
        <v>83400</v>
      </c>
      <c r="BN25" s="104">
        <v>84075</v>
      </c>
      <c r="BO25" s="131">
        <v>84950</v>
      </c>
      <c r="BP25" s="131">
        <v>85550</v>
      </c>
      <c r="BQ25" s="109">
        <v>86550</v>
      </c>
    </row>
    <row r="26" spans="1:69" x14ac:dyDescent="0.2">
      <c r="A26" s="20" t="s">
        <v>44</v>
      </c>
      <c r="B26" s="21" t="s">
        <v>45</v>
      </c>
      <c r="C26" s="54">
        <v>10919</v>
      </c>
      <c r="D26" s="56">
        <v>10700</v>
      </c>
      <c r="E26" s="57">
        <v>10600</v>
      </c>
      <c r="F26" s="57">
        <v>10400</v>
      </c>
      <c r="G26" s="57">
        <v>10200</v>
      </c>
      <c r="H26" s="57">
        <v>10100</v>
      </c>
      <c r="I26" s="57">
        <v>10000</v>
      </c>
      <c r="J26" s="57">
        <v>10000</v>
      </c>
      <c r="K26" s="57">
        <v>10000</v>
      </c>
      <c r="L26" s="57">
        <v>9700</v>
      </c>
      <c r="M26" s="58">
        <v>9572</v>
      </c>
      <c r="N26" s="56">
        <v>9600</v>
      </c>
      <c r="O26" s="57">
        <v>9600</v>
      </c>
      <c r="P26" s="57">
        <v>9600</v>
      </c>
      <c r="Q26" s="57">
        <v>9500</v>
      </c>
      <c r="R26" s="57">
        <v>9500</v>
      </c>
      <c r="S26" s="57">
        <v>9600</v>
      </c>
      <c r="T26" s="57">
        <v>9600</v>
      </c>
      <c r="U26" s="57">
        <v>9600</v>
      </c>
      <c r="V26" s="57">
        <v>9600</v>
      </c>
      <c r="W26" s="58">
        <v>9604</v>
      </c>
      <c r="X26" s="56">
        <v>9557</v>
      </c>
      <c r="Y26" s="57">
        <v>9483</v>
      </c>
      <c r="Z26" s="57">
        <v>9337</v>
      </c>
      <c r="AA26" s="57">
        <v>9289</v>
      </c>
      <c r="AB26" s="57">
        <v>9233</v>
      </c>
      <c r="AC26" s="57">
        <v>8965</v>
      </c>
      <c r="AD26" s="57">
        <v>8942</v>
      </c>
      <c r="AE26" s="57">
        <v>8954</v>
      </c>
      <c r="AF26" s="57">
        <v>8913</v>
      </c>
      <c r="AG26" s="58">
        <v>8864</v>
      </c>
      <c r="AH26" s="56">
        <v>8939</v>
      </c>
      <c r="AI26" s="57">
        <v>8973</v>
      </c>
      <c r="AJ26" s="57">
        <v>9036</v>
      </c>
      <c r="AK26" s="57">
        <v>9181</v>
      </c>
      <c r="AL26" s="57">
        <v>9330</v>
      </c>
      <c r="AM26" s="57">
        <v>9471</v>
      </c>
      <c r="AN26" s="57">
        <v>9623</v>
      </c>
      <c r="AO26" s="57">
        <v>9838</v>
      </c>
      <c r="AP26" s="57">
        <v>10020</v>
      </c>
      <c r="AQ26" s="58">
        <v>10184</v>
      </c>
      <c r="AR26" s="93">
        <v>10319</v>
      </c>
      <c r="AS26" s="94">
        <v>10277</v>
      </c>
      <c r="AT26" s="94">
        <v>10155</v>
      </c>
      <c r="AU26" s="94">
        <v>10305</v>
      </c>
      <c r="AV26" s="94">
        <v>10367</v>
      </c>
      <c r="AW26" s="94">
        <v>10435</v>
      </c>
      <c r="AX26" s="94">
        <v>10536</v>
      </c>
      <c r="AY26" s="94">
        <v>10629</v>
      </c>
      <c r="AZ26" s="94">
        <v>10624</v>
      </c>
      <c r="BA26" s="58">
        <v>10570</v>
      </c>
      <c r="BB26" s="63">
        <v>10598</v>
      </c>
      <c r="BC26" s="57">
        <v>10612</v>
      </c>
      <c r="BD26" s="57">
        <v>10576</v>
      </c>
      <c r="BE26" s="64">
        <v>10569</v>
      </c>
      <c r="BF26" s="64">
        <v>10610</v>
      </c>
      <c r="BG26" s="64">
        <v>10636</v>
      </c>
      <c r="BH26" s="104">
        <v>10694</v>
      </c>
      <c r="BI26" s="104">
        <v>10769</v>
      </c>
      <c r="BJ26" s="104">
        <v>10850</v>
      </c>
      <c r="BK26" s="109">
        <v>10876</v>
      </c>
      <c r="BL26" s="124">
        <v>10900</v>
      </c>
      <c r="BM26" s="104">
        <v>11050</v>
      </c>
      <c r="BN26" s="104">
        <v>11125</v>
      </c>
      <c r="BO26" s="131">
        <v>11300</v>
      </c>
      <c r="BP26" s="131">
        <v>11250</v>
      </c>
      <c r="BQ26" s="109">
        <v>11300</v>
      </c>
    </row>
    <row r="27" spans="1:69" x14ac:dyDescent="0.2">
      <c r="A27" s="20" t="s">
        <v>46</v>
      </c>
      <c r="B27" s="21" t="s">
        <v>47</v>
      </c>
      <c r="C27" s="54">
        <v>16251</v>
      </c>
      <c r="D27" s="56">
        <v>16500</v>
      </c>
      <c r="E27" s="57">
        <v>17100</v>
      </c>
      <c r="F27" s="57">
        <v>17200</v>
      </c>
      <c r="G27" s="57">
        <v>17400</v>
      </c>
      <c r="H27" s="57">
        <v>17800</v>
      </c>
      <c r="I27" s="57">
        <v>18400</v>
      </c>
      <c r="J27" s="57">
        <v>19100</v>
      </c>
      <c r="K27" s="57">
        <v>19600</v>
      </c>
      <c r="L27" s="57">
        <v>20200</v>
      </c>
      <c r="M27" s="58">
        <v>20918</v>
      </c>
      <c r="N27" s="56">
        <v>21000</v>
      </c>
      <c r="O27" s="57">
        <v>20800</v>
      </c>
      <c r="P27" s="57">
        <v>21100</v>
      </c>
      <c r="Q27" s="57">
        <v>22100</v>
      </c>
      <c r="R27" s="57">
        <v>23500</v>
      </c>
      <c r="S27" s="57">
        <v>25000</v>
      </c>
      <c r="T27" s="57">
        <v>26000</v>
      </c>
      <c r="U27" s="57">
        <v>27500</v>
      </c>
      <c r="V27" s="57">
        <v>29200</v>
      </c>
      <c r="W27" s="58">
        <v>31184</v>
      </c>
      <c r="X27" s="56">
        <v>32114</v>
      </c>
      <c r="Y27" s="57">
        <v>32894</v>
      </c>
      <c r="Z27" s="57">
        <v>33722</v>
      </c>
      <c r="AA27" s="57">
        <v>34981</v>
      </c>
      <c r="AB27" s="57">
        <v>35125</v>
      </c>
      <c r="AC27" s="57">
        <v>35709</v>
      </c>
      <c r="AD27" s="57">
        <v>36290</v>
      </c>
      <c r="AE27" s="57">
        <v>36989</v>
      </c>
      <c r="AF27" s="57">
        <v>37730</v>
      </c>
      <c r="AG27" s="58">
        <v>38341</v>
      </c>
      <c r="AH27" s="56">
        <v>39473</v>
      </c>
      <c r="AI27" s="57">
        <v>40524</v>
      </c>
      <c r="AJ27" s="57">
        <v>41693</v>
      </c>
      <c r="AK27" s="57">
        <v>42918</v>
      </c>
      <c r="AL27" s="57">
        <v>44128</v>
      </c>
      <c r="AM27" s="57">
        <v>45261</v>
      </c>
      <c r="AN27" s="57">
        <v>46350</v>
      </c>
      <c r="AO27" s="57">
        <v>47421</v>
      </c>
      <c r="AP27" s="57">
        <v>48410</v>
      </c>
      <c r="AQ27" s="58">
        <v>49405</v>
      </c>
      <c r="AR27" s="93">
        <v>49979</v>
      </c>
      <c r="AS27" s="94">
        <v>50981</v>
      </c>
      <c r="AT27" s="94">
        <v>51963</v>
      </c>
      <c r="AU27" s="94">
        <v>53233</v>
      </c>
      <c r="AV27" s="94">
        <v>54739</v>
      </c>
      <c r="AW27" s="94">
        <v>56214</v>
      </c>
      <c r="AX27" s="94">
        <v>58066</v>
      </c>
      <c r="AY27" s="94">
        <v>59536</v>
      </c>
      <c r="AZ27" s="94">
        <v>60237</v>
      </c>
      <c r="BA27" s="58">
        <v>60699</v>
      </c>
      <c r="BB27" s="63">
        <v>61235</v>
      </c>
      <c r="BC27" s="57">
        <v>61611</v>
      </c>
      <c r="BD27" s="57">
        <v>61956</v>
      </c>
      <c r="BE27" s="64">
        <v>62366</v>
      </c>
      <c r="BF27" s="64">
        <v>62545</v>
      </c>
      <c r="BG27" s="64">
        <v>63125</v>
      </c>
      <c r="BH27" s="104">
        <v>63889</v>
      </c>
      <c r="BI27" s="104">
        <v>64658</v>
      </c>
      <c r="BJ27" s="104">
        <v>65082</v>
      </c>
      <c r="BK27" s="109">
        <v>65726</v>
      </c>
      <c r="BL27" s="124">
        <v>65750</v>
      </c>
      <c r="BM27" s="104">
        <v>66200</v>
      </c>
      <c r="BN27" s="104">
        <v>67000</v>
      </c>
      <c r="BO27" s="131">
        <v>67475</v>
      </c>
      <c r="BP27" s="131">
        <v>67800</v>
      </c>
      <c r="BQ27" s="109">
        <v>67950</v>
      </c>
    </row>
    <row r="28" spans="1:69" x14ac:dyDescent="0.2">
      <c r="A28" s="20" t="s">
        <v>48</v>
      </c>
      <c r="B28" s="21" t="s">
        <v>49</v>
      </c>
      <c r="C28" s="54">
        <v>25520</v>
      </c>
      <c r="D28" s="56">
        <v>25500</v>
      </c>
      <c r="E28" s="57">
        <v>25400</v>
      </c>
      <c r="F28" s="57">
        <v>25000</v>
      </c>
      <c r="G28" s="57">
        <v>25000</v>
      </c>
      <c r="H28" s="57">
        <v>25100</v>
      </c>
      <c r="I28" s="57">
        <v>25000</v>
      </c>
      <c r="J28" s="57">
        <v>25200</v>
      </c>
      <c r="K28" s="57">
        <v>25600</v>
      </c>
      <c r="L28" s="57">
        <v>25100</v>
      </c>
      <c r="M28" s="58">
        <v>25867</v>
      </c>
      <c r="N28" s="56">
        <v>26300</v>
      </c>
      <c r="O28" s="57">
        <v>26400</v>
      </c>
      <c r="P28" s="57">
        <v>26100</v>
      </c>
      <c r="Q28" s="57">
        <v>26300</v>
      </c>
      <c r="R28" s="57">
        <v>26800</v>
      </c>
      <c r="S28" s="57">
        <v>27600</v>
      </c>
      <c r="T28" s="57">
        <v>28300</v>
      </c>
      <c r="U28" s="57">
        <v>29100</v>
      </c>
      <c r="V28" s="57">
        <v>30000</v>
      </c>
      <c r="W28" s="58">
        <v>30663</v>
      </c>
      <c r="X28" s="56">
        <v>31193</v>
      </c>
      <c r="Y28" s="57">
        <v>31719</v>
      </c>
      <c r="Z28" s="57">
        <v>32363</v>
      </c>
      <c r="AA28" s="57">
        <v>32649</v>
      </c>
      <c r="AB28" s="57">
        <v>32687</v>
      </c>
      <c r="AC28" s="57">
        <v>32552</v>
      </c>
      <c r="AD28" s="57">
        <v>32622</v>
      </c>
      <c r="AE28" s="57">
        <v>32829</v>
      </c>
      <c r="AF28" s="57">
        <v>33049</v>
      </c>
      <c r="AG28" s="58">
        <v>33350</v>
      </c>
      <c r="AH28" s="56">
        <v>33834</v>
      </c>
      <c r="AI28" s="57">
        <v>34388</v>
      </c>
      <c r="AJ28" s="57">
        <v>35004</v>
      </c>
      <c r="AK28" s="57">
        <v>35709</v>
      </c>
      <c r="AL28" s="57">
        <v>36702</v>
      </c>
      <c r="AM28" s="57">
        <v>37501</v>
      </c>
      <c r="AN28" s="57">
        <v>38236</v>
      </c>
      <c r="AO28" s="57">
        <v>38629</v>
      </c>
      <c r="AP28" s="57">
        <v>39066</v>
      </c>
      <c r="AQ28" s="58">
        <v>39564</v>
      </c>
      <c r="AR28" s="93">
        <v>39828</v>
      </c>
      <c r="AS28" s="94">
        <v>39992</v>
      </c>
      <c r="AT28" s="94">
        <v>39994</v>
      </c>
      <c r="AU28" s="94">
        <v>40160</v>
      </c>
      <c r="AV28" s="94">
        <v>40267</v>
      </c>
      <c r="AW28" s="94">
        <v>40656</v>
      </c>
      <c r="AX28" s="94">
        <v>40428</v>
      </c>
      <c r="AY28" s="94">
        <v>40589</v>
      </c>
      <c r="AZ28" s="94">
        <v>40968</v>
      </c>
      <c r="BA28" s="58">
        <v>41120</v>
      </c>
      <c r="BB28" s="63">
        <v>41274</v>
      </c>
      <c r="BC28" s="57">
        <v>41324</v>
      </c>
      <c r="BD28" s="57">
        <v>41396</v>
      </c>
      <c r="BE28" s="64">
        <v>41547</v>
      </c>
      <c r="BF28" s="64">
        <v>41625</v>
      </c>
      <c r="BG28" s="64">
        <v>41795</v>
      </c>
      <c r="BH28" s="104">
        <v>41838</v>
      </c>
      <c r="BI28" s="104">
        <v>41928</v>
      </c>
      <c r="BJ28" s="104">
        <v>41996</v>
      </c>
      <c r="BK28" s="109">
        <v>42104</v>
      </c>
      <c r="BL28" s="124">
        <v>42350</v>
      </c>
      <c r="BM28" s="104">
        <v>42700</v>
      </c>
      <c r="BN28" s="104">
        <v>43000</v>
      </c>
      <c r="BO28" s="131">
        <v>43200</v>
      </c>
      <c r="BP28" s="131">
        <v>43400</v>
      </c>
      <c r="BQ28" s="109">
        <v>43500</v>
      </c>
    </row>
    <row r="29" spans="1:69" x14ac:dyDescent="0.2">
      <c r="A29" s="20" t="s">
        <v>35</v>
      </c>
      <c r="B29" s="21" t="s">
        <v>50</v>
      </c>
      <c r="C29" s="54">
        <v>14674</v>
      </c>
      <c r="D29" s="56">
        <v>14500</v>
      </c>
      <c r="E29" s="57">
        <v>14700</v>
      </c>
      <c r="F29" s="57">
        <v>14900</v>
      </c>
      <c r="G29" s="57">
        <v>14700</v>
      </c>
      <c r="H29" s="57">
        <v>14700</v>
      </c>
      <c r="I29" s="57">
        <v>15000</v>
      </c>
      <c r="J29" s="57">
        <v>14500</v>
      </c>
      <c r="K29" s="57">
        <v>14800</v>
      </c>
      <c r="L29" s="57">
        <v>15300</v>
      </c>
      <c r="M29" s="58">
        <v>15796</v>
      </c>
      <c r="N29" s="56">
        <v>15600</v>
      </c>
      <c r="O29" s="57">
        <v>15400</v>
      </c>
      <c r="P29" s="57">
        <v>15500</v>
      </c>
      <c r="Q29" s="57">
        <v>15700</v>
      </c>
      <c r="R29" s="57">
        <v>15800</v>
      </c>
      <c r="S29" s="57">
        <v>16100</v>
      </c>
      <c r="T29" s="57">
        <v>16300</v>
      </c>
      <c r="U29" s="57">
        <v>16700</v>
      </c>
      <c r="V29" s="57">
        <v>16900</v>
      </c>
      <c r="W29" s="58">
        <v>17237</v>
      </c>
      <c r="X29" s="56">
        <v>17669</v>
      </c>
      <c r="Y29" s="57">
        <v>17733</v>
      </c>
      <c r="Z29" s="57">
        <v>17878</v>
      </c>
      <c r="AA29" s="57">
        <v>17922</v>
      </c>
      <c r="AB29" s="57">
        <v>17764</v>
      </c>
      <c r="AC29" s="57">
        <v>17692</v>
      </c>
      <c r="AD29" s="57">
        <v>17733</v>
      </c>
      <c r="AE29" s="57">
        <v>18178</v>
      </c>
      <c r="AF29" s="57">
        <v>18427</v>
      </c>
      <c r="AG29" s="58">
        <v>18882</v>
      </c>
      <c r="AH29" s="56">
        <v>19024</v>
      </c>
      <c r="AI29" s="57">
        <v>19221</v>
      </c>
      <c r="AJ29" s="57">
        <v>19449</v>
      </c>
      <c r="AK29" s="57">
        <v>19700</v>
      </c>
      <c r="AL29" s="57">
        <v>19990</v>
      </c>
      <c r="AM29" s="57">
        <v>20240</v>
      </c>
      <c r="AN29" s="57">
        <v>20420</v>
      </c>
      <c r="AO29" s="57">
        <v>20655</v>
      </c>
      <c r="AP29" s="57">
        <v>20823</v>
      </c>
      <c r="AQ29" s="58">
        <v>20984</v>
      </c>
      <c r="AR29" s="93">
        <v>20950</v>
      </c>
      <c r="AS29" s="94">
        <v>20873</v>
      </c>
      <c r="AT29" s="94">
        <v>20661</v>
      </c>
      <c r="AU29" s="94">
        <v>20662</v>
      </c>
      <c r="AV29" s="94">
        <v>20675</v>
      </c>
      <c r="AW29" s="94">
        <v>20905</v>
      </c>
      <c r="AX29" s="94">
        <v>20790</v>
      </c>
      <c r="AY29" s="94">
        <v>20751</v>
      </c>
      <c r="AZ29" s="94">
        <v>20888</v>
      </c>
      <c r="BA29" s="58">
        <v>20920</v>
      </c>
      <c r="BB29" s="63">
        <v>21123</v>
      </c>
      <c r="BC29" s="57">
        <v>21351</v>
      </c>
      <c r="BD29" s="57">
        <v>21563</v>
      </c>
      <c r="BE29" s="64">
        <v>21771</v>
      </c>
      <c r="BF29" s="64">
        <v>21981</v>
      </c>
      <c r="BG29" s="64">
        <v>22236</v>
      </c>
      <c r="BH29" s="104">
        <v>22479</v>
      </c>
      <c r="BI29" s="104">
        <v>22738</v>
      </c>
      <c r="BJ29" s="104">
        <v>22958</v>
      </c>
      <c r="BK29" s="109">
        <v>23365</v>
      </c>
      <c r="BL29" s="124">
        <v>23425</v>
      </c>
      <c r="BM29" s="104">
        <v>23600</v>
      </c>
      <c r="BN29" s="104">
        <v>23775</v>
      </c>
      <c r="BO29" s="131">
        <v>23950</v>
      </c>
      <c r="BP29" s="131">
        <v>23950</v>
      </c>
      <c r="BQ29" s="109">
        <v>23950</v>
      </c>
    </row>
    <row r="30" spans="1:69" x14ac:dyDescent="0.2">
      <c r="A30" s="20" t="s">
        <v>51</v>
      </c>
      <c r="B30" s="21" t="s">
        <v>52</v>
      </c>
      <c r="C30" s="54">
        <v>6914</v>
      </c>
      <c r="D30" s="56">
        <v>6700</v>
      </c>
      <c r="E30" s="57">
        <v>6800</v>
      </c>
      <c r="F30" s="57">
        <v>6500</v>
      </c>
      <c r="G30" s="57">
        <v>6300</v>
      </c>
      <c r="H30" s="57">
        <v>6100</v>
      </c>
      <c r="I30" s="57">
        <v>6200</v>
      </c>
      <c r="J30" s="57">
        <v>6100</v>
      </c>
      <c r="K30" s="57">
        <v>6000</v>
      </c>
      <c r="L30" s="57">
        <v>6000</v>
      </c>
      <c r="M30" s="58">
        <v>6025</v>
      </c>
      <c r="N30" s="56">
        <v>6200</v>
      </c>
      <c r="O30" s="57">
        <v>6400</v>
      </c>
      <c r="P30" s="57">
        <v>6700</v>
      </c>
      <c r="Q30" s="57">
        <v>7100</v>
      </c>
      <c r="R30" s="57">
        <v>7600</v>
      </c>
      <c r="S30" s="57">
        <v>7800</v>
      </c>
      <c r="T30" s="57">
        <v>8000</v>
      </c>
      <c r="U30" s="57">
        <v>8300</v>
      </c>
      <c r="V30" s="57">
        <v>8400</v>
      </c>
      <c r="W30" s="58">
        <v>8580</v>
      </c>
      <c r="X30" s="56">
        <v>8676</v>
      </c>
      <c r="Y30" s="57">
        <v>8653</v>
      </c>
      <c r="Z30" s="57">
        <v>8741</v>
      </c>
      <c r="AA30" s="57">
        <v>8778</v>
      </c>
      <c r="AB30" s="57">
        <v>8744</v>
      </c>
      <c r="AC30" s="57">
        <v>8761</v>
      </c>
      <c r="AD30" s="57">
        <v>8773</v>
      </c>
      <c r="AE30" s="57">
        <v>8775</v>
      </c>
      <c r="AF30" s="57">
        <v>8782</v>
      </c>
      <c r="AG30" s="58">
        <v>8915</v>
      </c>
      <c r="AH30" s="56">
        <v>9154</v>
      </c>
      <c r="AI30" s="57">
        <v>9353</v>
      </c>
      <c r="AJ30" s="57">
        <v>9627</v>
      </c>
      <c r="AK30" s="57">
        <v>9918</v>
      </c>
      <c r="AL30" s="57">
        <v>10267</v>
      </c>
      <c r="AM30" s="57">
        <v>10579</v>
      </c>
      <c r="AN30" s="57">
        <v>10857</v>
      </c>
      <c r="AO30" s="57">
        <v>11146</v>
      </c>
      <c r="AP30" s="57">
        <v>11429</v>
      </c>
      <c r="AQ30" s="58">
        <v>11732</v>
      </c>
      <c r="AR30" s="93">
        <v>11913</v>
      </c>
      <c r="AS30" s="94">
        <v>12013</v>
      </c>
      <c r="AT30" s="94">
        <v>12123</v>
      </c>
      <c r="AU30" s="94">
        <v>12191</v>
      </c>
      <c r="AV30" s="94">
        <v>12337</v>
      </c>
      <c r="AW30" s="94">
        <v>12464</v>
      </c>
      <c r="AX30" s="94">
        <v>12694</v>
      </c>
      <c r="AY30" s="94">
        <v>12844</v>
      </c>
      <c r="AZ30" s="94">
        <v>12940</v>
      </c>
      <c r="BA30" s="58">
        <v>13001</v>
      </c>
      <c r="BB30" s="63">
        <v>13063</v>
      </c>
      <c r="BC30" s="57">
        <v>13107</v>
      </c>
      <c r="BD30" s="57">
        <v>13111</v>
      </c>
      <c r="BE30" s="64">
        <v>13141</v>
      </c>
      <c r="BF30" s="64">
        <v>13150</v>
      </c>
      <c r="BG30" s="64">
        <v>13180</v>
      </c>
      <c r="BH30" s="104">
        <v>13228</v>
      </c>
      <c r="BI30" s="104">
        <v>13267</v>
      </c>
      <c r="BJ30" s="104">
        <v>13326</v>
      </c>
      <c r="BK30" s="109">
        <v>13401</v>
      </c>
      <c r="BL30" s="124">
        <v>13475</v>
      </c>
      <c r="BM30" s="104">
        <v>13625</v>
      </c>
      <c r="BN30" s="104">
        <v>13725</v>
      </c>
      <c r="BO30" s="131">
        <v>13850</v>
      </c>
      <c r="BP30" s="131">
        <v>13950</v>
      </c>
      <c r="BQ30" s="109">
        <v>14100</v>
      </c>
    </row>
    <row r="31" spans="1:69" x14ac:dyDescent="0.2">
      <c r="A31" s="20" t="s">
        <v>53</v>
      </c>
      <c r="B31" s="21" t="s">
        <v>54</v>
      </c>
      <c r="C31" s="54">
        <v>321590</v>
      </c>
      <c r="D31" s="56">
        <v>329100</v>
      </c>
      <c r="E31" s="57">
        <v>337300</v>
      </c>
      <c r="F31" s="57">
        <v>342700</v>
      </c>
      <c r="G31" s="57">
        <v>349200</v>
      </c>
      <c r="H31" s="57">
        <v>358600</v>
      </c>
      <c r="I31" s="57">
        <v>368400</v>
      </c>
      <c r="J31" s="57">
        <v>383300</v>
      </c>
      <c r="K31" s="57">
        <v>398100</v>
      </c>
      <c r="L31" s="57">
        <v>412000</v>
      </c>
      <c r="M31" s="58">
        <v>412344</v>
      </c>
      <c r="N31" s="56">
        <v>422900</v>
      </c>
      <c r="O31" s="57">
        <v>403000</v>
      </c>
      <c r="P31" s="57">
        <v>400100</v>
      </c>
      <c r="Q31" s="57">
        <v>413500</v>
      </c>
      <c r="R31" s="57">
        <v>421600</v>
      </c>
      <c r="S31" s="57">
        <v>430800</v>
      </c>
      <c r="T31" s="57">
        <v>436600</v>
      </c>
      <c r="U31" s="57">
        <v>454700</v>
      </c>
      <c r="V31" s="57">
        <v>469000</v>
      </c>
      <c r="W31" s="58">
        <v>485667</v>
      </c>
      <c r="X31" s="56">
        <v>502249</v>
      </c>
      <c r="Y31" s="57">
        <v>505888</v>
      </c>
      <c r="Z31" s="57">
        <v>512583</v>
      </c>
      <c r="AA31" s="57">
        <v>520504</v>
      </c>
      <c r="AB31" s="57">
        <v>529753</v>
      </c>
      <c r="AC31" s="57">
        <v>536252</v>
      </c>
      <c r="AD31" s="57">
        <v>546305</v>
      </c>
      <c r="AE31" s="57">
        <v>558259</v>
      </c>
      <c r="AF31" s="57">
        <v>573572</v>
      </c>
      <c r="AG31" s="58">
        <v>586203</v>
      </c>
      <c r="AH31" s="56">
        <v>598065</v>
      </c>
      <c r="AI31" s="57">
        <v>610619</v>
      </c>
      <c r="AJ31" s="57">
        <v>623697</v>
      </c>
      <c r="AK31" s="57">
        <v>636802</v>
      </c>
      <c r="AL31" s="57">
        <v>649284</v>
      </c>
      <c r="AM31" s="57">
        <v>653212</v>
      </c>
      <c r="AN31" s="57">
        <v>664070</v>
      </c>
      <c r="AO31" s="57">
        <v>675651</v>
      </c>
      <c r="AP31" s="57">
        <v>688884</v>
      </c>
      <c r="AQ31" s="58">
        <v>700818</v>
      </c>
      <c r="AR31" s="93">
        <v>709288</v>
      </c>
      <c r="AS31" s="94">
        <v>721124</v>
      </c>
      <c r="AT31" s="94">
        <v>731969</v>
      </c>
      <c r="AU31" s="94">
        <v>743701</v>
      </c>
      <c r="AV31" s="94">
        <v>756919</v>
      </c>
      <c r="AW31" s="94">
        <v>774050</v>
      </c>
      <c r="AX31" s="94">
        <v>786911</v>
      </c>
      <c r="AY31" s="94">
        <v>794330</v>
      </c>
      <c r="AZ31" s="94">
        <v>796900</v>
      </c>
      <c r="BA31" s="58">
        <v>795225</v>
      </c>
      <c r="BB31" s="63">
        <v>806190</v>
      </c>
      <c r="BC31" s="57">
        <v>814214</v>
      </c>
      <c r="BD31" s="57">
        <v>823032</v>
      </c>
      <c r="BE31" s="64">
        <v>834544</v>
      </c>
      <c r="BF31" s="64">
        <v>845324</v>
      </c>
      <c r="BG31" s="64">
        <v>862608</v>
      </c>
      <c r="BH31" s="104">
        <v>877920</v>
      </c>
      <c r="BI31" s="104">
        <v>891661</v>
      </c>
      <c r="BJ31" s="104">
        <v>905841</v>
      </c>
      <c r="BK31" s="109">
        <v>920393</v>
      </c>
      <c r="BL31" s="124">
        <v>928200</v>
      </c>
      <c r="BM31" s="104">
        <v>937400</v>
      </c>
      <c r="BN31" s="104">
        <v>946300</v>
      </c>
      <c r="BO31" s="131">
        <v>952600</v>
      </c>
      <c r="BP31" s="131">
        <v>959900</v>
      </c>
      <c r="BQ31" s="109">
        <v>967000</v>
      </c>
    </row>
    <row r="32" spans="1:69" x14ac:dyDescent="0.2">
      <c r="A32" s="20" t="s">
        <v>55</v>
      </c>
      <c r="B32" s="21" t="s">
        <v>56</v>
      </c>
      <c r="C32" s="54">
        <v>2872</v>
      </c>
      <c r="D32" s="56">
        <v>2900</v>
      </c>
      <c r="E32" s="57">
        <v>2900</v>
      </c>
      <c r="F32" s="57">
        <v>3000</v>
      </c>
      <c r="G32" s="57">
        <v>3000</v>
      </c>
      <c r="H32" s="57">
        <v>3100</v>
      </c>
      <c r="I32" s="57">
        <v>3100</v>
      </c>
      <c r="J32" s="57">
        <v>3400</v>
      </c>
      <c r="K32" s="57">
        <v>3600</v>
      </c>
      <c r="L32" s="57">
        <v>3600</v>
      </c>
      <c r="M32" s="58">
        <v>3856</v>
      </c>
      <c r="N32" s="56">
        <v>4100</v>
      </c>
      <c r="O32" s="57">
        <v>4600</v>
      </c>
      <c r="P32" s="57">
        <v>5000</v>
      </c>
      <c r="Q32" s="57">
        <v>5400</v>
      </c>
      <c r="R32" s="57">
        <v>5400</v>
      </c>
      <c r="S32" s="57">
        <v>5700</v>
      </c>
      <c r="T32" s="57">
        <v>6100</v>
      </c>
      <c r="U32" s="57">
        <v>6700</v>
      </c>
      <c r="V32" s="57">
        <v>7300</v>
      </c>
      <c r="W32" s="58">
        <v>7838</v>
      </c>
      <c r="X32" s="56">
        <v>8091</v>
      </c>
      <c r="Y32" s="57">
        <v>8352</v>
      </c>
      <c r="Z32" s="57">
        <v>8533</v>
      </c>
      <c r="AA32" s="57">
        <v>8798</v>
      </c>
      <c r="AB32" s="57">
        <v>8904</v>
      </c>
      <c r="AC32" s="57">
        <v>9137</v>
      </c>
      <c r="AD32" s="57">
        <v>9248</v>
      </c>
      <c r="AE32" s="57">
        <v>9449</v>
      </c>
      <c r="AF32" s="57">
        <v>9639</v>
      </c>
      <c r="AG32" s="58">
        <v>10035</v>
      </c>
      <c r="AH32" s="56">
        <v>10783</v>
      </c>
      <c r="AI32" s="57">
        <v>11379</v>
      </c>
      <c r="AJ32" s="57">
        <v>12049</v>
      </c>
      <c r="AK32" s="57">
        <v>12409</v>
      </c>
      <c r="AL32" s="57">
        <v>12747</v>
      </c>
      <c r="AM32" s="57">
        <v>12833</v>
      </c>
      <c r="AN32" s="57">
        <v>12949</v>
      </c>
      <c r="AO32" s="57">
        <v>13042</v>
      </c>
      <c r="AP32" s="57">
        <v>13506</v>
      </c>
      <c r="AQ32" s="58">
        <v>14077</v>
      </c>
      <c r="AR32" s="93">
        <v>14402</v>
      </c>
      <c r="AS32" s="94">
        <v>14664</v>
      </c>
      <c r="AT32" s="94">
        <v>14772</v>
      </c>
      <c r="AU32" s="94">
        <v>14935</v>
      </c>
      <c r="AV32" s="94">
        <v>15180</v>
      </c>
      <c r="AW32" s="94">
        <v>15379</v>
      </c>
      <c r="AX32" s="94">
        <v>15483</v>
      </c>
      <c r="AY32" s="94">
        <v>15634</v>
      </c>
      <c r="AZ32" s="94">
        <v>15738</v>
      </c>
      <c r="BA32" s="58">
        <v>15769</v>
      </c>
      <c r="BB32" s="63">
        <v>15946</v>
      </c>
      <c r="BC32" s="57">
        <v>16056</v>
      </c>
      <c r="BD32" s="57">
        <v>16238</v>
      </c>
      <c r="BE32" s="64">
        <v>16422</v>
      </c>
      <c r="BF32" s="64">
        <v>16571</v>
      </c>
      <c r="BG32" s="64">
        <v>16775</v>
      </c>
      <c r="BH32" s="104">
        <v>16932</v>
      </c>
      <c r="BI32" s="104">
        <v>17209</v>
      </c>
      <c r="BJ32" s="104">
        <v>17488</v>
      </c>
      <c r="BK32" s="109">
        <v>17788</v>
      </c>
      <c r="BL32" s="124">
        <v>17850</v>
      </c>
      <c r="BM32" s="104">
        <v>18150</v>
      </c>
      <c r="BN32" s="104">
        <v>18350</v>
      </c>
      <c r="BO32" s="131">
        <v>18475</v>
      </c>
      <c r="BP32" s="131">
        <v>18550</v>
      </c>
      <c r="BQ32" s="109">
        <v>18650</v>
      </c>
    </row>
    <row r="33" spans="1:69" x14ac:dyDescent="0.2">
      <c r="A33" s="20" t="s">
        <v>57</v>
      </c>
      <c r="B33" s="21" t="s">
        <v>58</v>
      </c>
      <c r="C33" s="54">
        <v>51350</v>
      </c>
      <c r="D33" s="56">
        <v>51300</v>
      </c>
      <c r="E33" s="57">
        <v>51600</v>
      </c>
      <c r="F33" s="57">
        <v>51100</v>
      </c>
      <c r="G33" s="57">
        <v>50800</v>
      </c>
      <c r="H33" s="57">
        <v>50900</v>
      </c>
      <c r="I33" s="57">
        <v>51200</v>
      </c>
      <c r="J33" s="57">
        <v>52000</v>
      </c>
      <c r="K33" s="57">
        <v>52600</v>
      </c>
      <c r="L33" s="57">
        <v>52000</v>
      </c>
      <c r="M33" s="58">
        <v>52381</v>
      </c>
      <c r="N33" s="56">
        <v>52700</v>
      </c>
      <c r="O33" s="57">
        <v>52000</v>
      </c>
      <c r="P33" s="57">
        <v>52100</v>
      </c>
      <c r="Q33" s="57">
        <v>53400</v>
      </c>
      <c r="R33" s="57">
        <v>54100</v>
      </c>
      <c r="S33" s="57">
        <v>55300</v>
      </c>
      <c r="T33" s="57">
        <v>56200</v>
      </c>
      <c r="U33" s="57">
        <v>58100</v>
      </c>
      <c r="V33" s="57">
        <v>60400</v>
      </c>
      <c r="W33" s="58">
        <v>64138</v>
      </c>
      <c r="X33" s="56">
        <v>64931</v>
      </c>
      <c r="Y33" s="57">
        <v>66787</v>
      </c>
      <c r="Z33" s="57">
        <v>68369</v>
      </c>
      <c r="AA33" s="57">
        <v>68635</v>
      </c>
      <c r="AB33" s="57">
        <v>69472</v>
      </c>
      <c r="AC33" s="57">
        <v>70963</v>
      </c>
      <c r="AD33" s="57">
        <v>71385</v>
      </c>
      <c r="AE33" s="57">
        <v>73405</v>
      </c>
      <c r="AF33" s="57">
        <v>75614</v>
      </c>
      <c r="AG33" s="58">
        <v>79545</v>
      </c>
      <c r="AH33" s="56">
        <v>82803</v>
      </c>
      <c r="AI33" s="57">
        <v>85023</v>
      </c>
      <c r="AJ33" s="57">
        <v>87550</v>
      </c>
      <c r="AK33" s="57">
        <v>90120</v>
      </c>
      <c r="AL33" s="57">
        <v>92627</v>
      </c>
      <c r="AM33" s="57">
        <v>94781</v>
      </c>
      <c r="AN33" s="57">
        <v>96950</v>
      </c>
      <c r="AO33" s="57">
        <v>98750</v>
      </c>
      <c r="AP33" s="57">
        <v>100421</v>
      </c>
      <c r="AQ33" s="58">
        <v>102979</v>
      </c>
      <c r="AR33" s="93">
        <v>104246</v>
      </c>
      <c r="AS33" s="94">
        <v>105861</v>
      </c>
      <c r="AT33" s="94">
        <v>106647</v>
      </c>
      <c r="AU33" s="94">
        <v>108494</v>
      </c>
      <c r="AV33" s="94">
        <v>109977</v>
      </c>
      <c r="AW33" s="94">
        <v>112113</v>
      </c>
      <c r="AX33" s="94">
        <v>113890</v>
      </c>
      <c r="AY33" s="94">
        <v>115422</v>
      </c>
      <c r="AZ33" s="94">
        <v>116612</v>
      </c>
      <c r="BA33" s="58">
        <v>116901</v>
      </c>
      <c r="BB33" s="63">
        <v>117617</v>
      </c>
      <c r="BC33" s="57">
        <v>118331</v>
      </c>
      <c r="BD33" s="57">
        <v>119219</v>
      </c>
      <c r="BE33" s="64">
        <v>120197</v>
      </c>
      <c r="BF33" s="64">
        <v>121166</v>
      </c>
      <c r="BG33" s="64">
        <v>122465</v>
      </c>
      <c r="BH33" s="104">
        <v>123727</v>
      </c>
      <c r="BI33" s="104">
        <v>125895</v>
      </c>
      <c r="BJ33" s="104">
        <v>128037</v>
      </c>
      <c r="BK33" s="109">
        <v>129523</v>
      </c>
      <c r="BL33" s="124">
        <v>130000</v>
      </c>
      <c r="BM33" s="104">
        <v>131250</v>
      </c>
      <c r="BN33" s="104">
        <v>132000</v>
      </c>
      <c r="BO33" s="131">
        <v>133300</v>
      </c>
      <c r="BP33" s="131">
        <v>134600</v>
      </c>
      <c r="BQ33" s="109">
        <v>135350</v>
      </c>
    </row>
    <row r="34" spans="1:69" x14ac:dyDescent="0.2">
      <c r="A34" s="20" t="s">
        <v>59</v>
      </c>
      <c r="B34" s="21" t="s">
        <v>60</v>
      </c>
      <c r="C34" s="54">
        <v>5207</v>
      </c>
      <c r="D34" s="56">
        <v>5200</v>
      </c>
      <c r="E34" s="57">
        <v>5300</v>
      </c>
      <c r="F34" s="57">
        <v>5400</v>
      </c>
      <c r="G34" s="57">
        <v>5400</v>
      </c>
      <c r="H34" s="57">
        <v>5500</v>
      </c>
      <c r="I34" s="57">
        <v>5300</v>
      </c>
      <c r="J34" s="57">
        <v>5500</v>
      </c>
      <c r="K34" s="57">
        <v>5700</v>
      </c>
      <c r="L34" s="57">
        <v>5700</v>
      </c>
      <c r="M34" s="58">
        <v>5845</v>
      </c>
      <c r="N34" s="56">
        <v>5900</v>
      </c>
      <c r="O34" s="57">
        <v>6100</v>
      </c>
      <c r="P34" s="57">
        <v>6100</v>
      </c>
      <c r="Q34" s="57">
        <v>6400</v>
      </c>
      <c r="R34" s="57">
        <v>6300</v>
      </c>
      <c r="S34" s="57">
        <v>6200</v>
      </c>
      <c r="T34" s="57">
        <v>6800</v>
      </c>
      <c r="U34" s="57">
        <v>6900</v>
      </c>
      <c r="V34" s="57">
        <v>7400</v>
      </c>
      <c r="W34" s="58">
        <v>7919</v>
      </c>
      <c r="X34" s="56">
        <v>7849</v>
      </c>
      <c r="Y34" s="57">
        <v>7889</v>
      </c>
      <c r="Z34" s="57">
        <v>7967</v>
      </c>
      <c r="AA34" s="57">
        <v>7973</v>
      </c>
      <c r="AB34" s="57">
        <v>7946</v>
      </c>
      <c r="AC34" s="57">
        <v>7947</v>
      </c>
      <c r="AD34" s="57">
        <v>8062</v>
      </c>
      <c r="AE34" s="57">
        <v>8106</v>
      </c>
      <c r="AF34" s="57">
        <v>8201</v>
      </c>
      <c r="AG34" s="58">
        <v>8289</v>
      </c>
      <c r="AH34" s="56">
        <v>8532</v>
      </c>
      <c r="AI34" s="57">
        <v>8625</v>
      </c>
      <c r="AJ34" s="57">
        <v>8736</v>
      </c>
      <c r="AK34" s="57">
        <v>8908</v>
      </c>
      <c r="AL34" s="57">
        <v>9057</v>
      </c>
      <c r="AM34" s="57">
        <v>9236</v>
      </c>
      <c r="AN34" s="57">
        <v>9402</v>
      </c>
      <c r="AO34" s="57">
        <v>9558</v>
      </c>
      <c r="AP34" s="57">
        <v>9744</v>
      </c>
      <c r="AQ34" s="58">
        <v>9872</v>
      </c>
      <c r="AR34" s="93">
        <v>9941</v>
      </c>
      <c r="AS34" s="94">
        <v>10045</v>
      </c>
      <c r="AT34" s="94">
        <v>10117</v>
      </c>
      <c r="AU34" s="94">
        <v>10284</v>
      </c>
      <c r="AV34" s="94">
        <v>10515</v>
      </c>
      <c r="AW34" s="94">
        <v>10777</v>
      </c>
      <c r="AX34" s="94">
        <v>10892</v>
      </c>
      <c r="AY34" s="94">
        <v>10941</v>
      </c>
      <c r="AZ34" s="94">
        <v>10995</v>
      </c>
      <c r="BA34" s="58">
        <v>11066</v>
      </c>
      <c r="BB34" s="63">
        <v>11095</v>
      </c>
      <c r="BC34" s="57">
        <v>11152</v>
      </c>
      <c r="BD34" s="57">
        <v>11166</v>
      </c>
      <c r="BE34" s="64">
        <v>11191</v>
      </c>
      <c r="BF34" s="64">
        <v>11209</v>
      </c>
      <c r="BG34" s="64">
        <v>11256</v>
      </c>
      <c r="BH34" s="104">
        <v>11331</v>
      </c>
      <c r="BI34" s="104">
        <v>11412</v>
      </c>
      <c r="BJ34" s="104">
        <v>11517</v>
      </c>
      <c r="BK34" s="109">
        <v>11604</v>
      </c>
      <c r="BL34" s="124">
        <v>11750</v>
      </c>
      <c r="BM34" s="104">
        <v>11900</v>
      </c>
      <c r="BN34" s="104">
        <v>12000</v>
      </c>
      <c r="BO34" s="131">
        <v>12075</v>
      </c>
      <c r="BP34" s="131">
        <v>12150</v>
      </c>
      <c r="BQ34" s="109">
        <v>12150</v>
      </c>
    </row>
    <row r="35" spans="1:69" x14ac:dyDescent="0.2">
      <c r="A35" s="20" t="s">
        <v>61</v>
      </c>
      <c r="B35" s="21" t="s">
        <v>62</v>
      </c>
      <c r="C35" s="54">
        <v>172199</v>
      </c>
      <c r="D35" s="56">
        <v>179900</v>
      </c>
      <c r="E35" s="57">
        <v>188400</v>
      </c>
      <c r="F35" s="57">
        <v>195300</v>
      </c>
      <c r="G35" s="57">
        <v>203000</v>
      </c>
      <c r="H35" s="57">
        <v>212700</v>
      </c>
      <c r="I35" s="57">
        <v>222500</v>
      </c>
      <c r="J35" s="57">
        <v>235700</v>
      </c>
      <c r="K35" s="57">
        <v>249000</v>
      </c>
      <c r="L35" s="57">
        <v>267000</v>
      </c>
      <c r="M35" s="58">
        <v>265236</v>
      </c>
      <c r="N35" s="56">
        <v>262200</v>
      </c>
      <c r="O35" s="57">
        <v>263300</v>
      </c>
      <c r="P35" s="57">
        <v>263800</v>
      </c>
      <c r="Q35" s="57">
        <v>267600</v>
      </c>
      <c r="R35" s="57">
        <v>270100</v>
      </c>
      <c r="S35" s="57">
        <v>275500</v>
      </c>
      <c r="T35" s="57">
        <v>282500</v>
      </c>
      <c r="U35" s="57">
        <v>297900</v>
      </c>
      <c r="V35" s="57">
        <v>318800</v>
      </c>
      <c r="W35" s="58">
        <v>337720</v>
      </c>
      <c r="X35" s="56">
        <v>349596</v>
      </c>
      <c r="Y35" s="57">
        <v>357747</v>
      </c>
      <c r="Z35" s="57">
        <v>363552</v>
      </c>
      <c r="AA35" s="57">
        <v>370569</v>
      </c>
      <c r="AB35" s="57">
        <v>381094</v>
      </c>
      <c r="AC35" s="57">
        <v>393097</v>
      </c>
      <c r="AD35" s="57">
        <v>406093</v>
      </c>
      <c r="AE35" s="57">
        <v>422387</v>
      </c>
      <c r="AF35" s="57">
        <v>444460</v>
      </c>
      <c r="AG35" s="58">
        <v>465628</v>
      </c>
      <c r="AH35" s="56">
        <v>488075</v>
      </c>
      <c r="AI35" s="57">
        <v>496461</v>
      </c>
      <c r="AJ35" s="57">
        <v>507336</v>
      </c>
      <c r="AK35" s="57">
        <v>519960</v>
      </c>
      <c r="AL35" s="57">
        <v>531704</v>
      </c>
      <c r="AM35" s="57">
        <v>542738</v>
      </c>
      <c r="AN35" s="57">
        <v>554585</v>
      </c>
      <c r="AO35" s="57">
        <v>570896</v>
      </c>
      <c r="AP35" s="57">
        <v>589266</v>
      </c>
      <c r="AQ35" s="58">
        <v>606024</v>
      </c>
      <c r="AR35" s="93">
        <v>617864</v>
      </c>
      <c r="AS35" s="94">
        <v>629287</v>
      </c>
      <c r="AT35" s="94">
        <v>639942</v>
      </c>
      <c r="AU35" s="94">
        <v>648778</v>
      </c>
      <c r="AV35" s="94">
        <v>661346</v>
      </c>
      <c r="AW35" s="94">
        <v>676126</v>
      </c>
      <c r="AX35" s="94">
        <v>689314</v>
      </c>
      <c r="AY35" s="94">
        <v>699330</v>
      </c>
      <c r="AZ35" s="94">
        <v>705894</v>
      </c>
      <c r="BA35" s="58">
        <v>713335</v>
      </c>
      <c r="BB35" s="63">
        <v>718874</v>
      </c>
      <c r="BC35" s="57">
        <v>725545</v>
      </c>
      <c r="BD35" s="57">
        <v>735288</v>
      </c>
      <c r="BE35" s="64">
        <v>746184</v>
      </c>
      <c r="BF35" s="64">
        <v>760430</v>
      </c>
      <c r="BG35" s="64">
        <v>773899</v>
      </c>
      <c r="BH35" s="104">
        <v>787096</v>
      </c>
      <c r="BI35" s="104">
        <v>801223</v>
      </c>
      <c r="BJ35" s="104">
        <v>814419</v>
      </c>
      <c r="BK35" s="109">
        <v>827957</v>
      </c>
      <c r="BL35" s="124">
        <v>837800</v>
      </c>
      <c r="BM35" s="104">
        <v>847300</v>
      </c>
      <c r="BN35" s="104">
        <v>859800</v>
      </c>
      <c r="BO35" s="131">
        <v>867100</v>
      </c>
      <c r="BP35" s="131">
        <v>873800</v>
      </c>
      <c r="BQ35" s="109">
        <v>879700</v>
      </c>
    </row>
    <row r="36" spans="1:69" x14ac:dyDescent="0.2">
      <c r="A36" s="20" t="s">
        <v>63</v>
      </c>
      <c r="B36" s="21" t="s">
        <v>64</v>
      </c>
      <c r="C36" s="54">
        <v>278333</v>
      </c>
      <c r="D36" s="56">
        <v>278700</v>
      </c>
      <c r="E36" s="57">
        <v>279800</v>
      </c>
      <c r="F36" s="57">
        <v>278500</v>
      </c>
      <c r="G36" s="57">
        <v>277900</v>
      </c>
      <c r="H36" s="57">
        <v>277200</v>
      </c>
      <c r="I36" s="57">
        <v>276600</v>
      </c>
      <c r="J36" s="57">
        <v>274200</v>
      </c>
      <c r="K36" s="57">
        <v>276300</v>
      </c>
      <c r="L36" s="57">
        <v>280000</v>
      </c>
      <c r="M36" s="58">
        <v>287487</v>
      </c>
      <c r="N36" s="56">
        <v>292000</v>
      </c>
      <c r="O36" s="57">
        <v>296900</v>
      </c>
      <c r="P36" s="57">
        <v>299500</v>
      </c>
      <c r="Q36" s="57">
        <v>304000</v>
      </c>
      <c r="R36" s="57">
        <v>304300</v>
      </c>
      <c r="S36" s="57">
        <v>311000</v>
      </c>
      <c r="T36" s="57">
        <v>318900</v>
      </c>
      <c r="U36" s="57">
        <v>323500</v>
      </c>
      <c r="V36" s="57">
        <v>334100</v>
      </c>
      <c r="W36" s="58">
        <v>341835</v>
      </c>
      <c r="X36" s="56">
        <v>346815</v>
      </c>
      <c r="Y36" s="57">
        <v>346674</v>
      </c>
      <c r="Z36" s="57">
        <v>346078</v>
      </c>
      <c r="AA36" s="57">
        <v>347790</v>
      </c>
      <c r="AB36" s="57">
        <v>351417</v>
      </c>
      <c r="AC36" s="57">
        <v>350348</v>
      </c>
      <c r="AD36" s="57">
        <v>348703</v>
      </c>
      <c r="AE36" s="57">
        <v>349415</v>
      </c>
      <c r="AF36" s="57">
        <v>352715</v>
      </c>
      <c r="AG36" s="58">
        <v>361333</v>
      </c>
      <c r="AH36" s="56">
        <v>365887</v>
      </c>
      <c r="AI36" s="57">
        <v>371147</v>
      </c>
      <c r="AJ36" s="57">
        <v>377020</v>
      </c>
      <c r="AK36" s="57">
        <v>384035</v>
      </c>
      <c r="AL36" s="57">
        <v>391318</v>
      </c>
      <c r="AM36" s="57">
        <v>397508</v>
      </c>
      <c r="AN36" s="57">
        <v>403954</v>
      </c>
      <c r="AO36" s="57">
        <v>408740</v>
      </c>
      <c r="AP36" s="57">
        <v>413665</v>
      </c>
      <c r="AQ36" s="58">
        <v>417939</v>
      </c>
      <c r="AR36" s="93">
        <v>423127</v>
      </c>
      <c r="AS36" s="94">
        <v>428755</v>
      </c>
      <c r="AT36" s="94">
        <v>428889</v>
      </c>
      <c r="AU36" s="94">
        <v>431905</v>
      </c>
      <c r="AV36" s="94">
        <v>438249</v>
      </c>
      <c r="AW36" s="94">
        <v>446751</v>
      </c>
      <c r="AX36" s="94">
        <v>454034</v>
      </c>
      <c r="AY36" s="94">
        <v>460303</v>
      </c>
      <c r="AZ36" s="94">
        <v>466426</v>
      </c>
      <c r="BA36" s="58">
        <v>471221</v>
      </c>
      <c r="BB36" s="63">
        <v>474439</v>
      </c>
      <c r="BC36" s="57">
        <v>478381</v>
      </c>
      <c r="BD36" s="57">
        <v>484161</v>
      </c>
      <c r="BE36" s="64">
        <v>489986</v>
      </c>
      <c r="BF36" s="64">
        <v>495986</v>
      </c>
      <c r="BG36" s="64">
        <v>502706</v>
      </c>
      <c r="BH36" s="104">
        <v>511653</v>
      </c>
      <c r="BI36" s="104">
        <v>522337</v>
      </c>
      <c r="BJ36" s="104">
        <v>531191</v>
      </c>
      <c r="BK36" s="109">
        <v>539339</v>
      </c>
      <c r="BL36" s="124">
        <v>542100</v>
      </c>
      <c r="BM36" s="104">
        <v>550700</v>
      </c>
      <c r="BN36" s="104">
        <v>554600</v>
      </c>
      <c r="BO36" s="131">
        <v>559400</v>
      </c>
      <c r="BP36" s="131">
        <v>566000</v>
      </c>
      <c r="BQ36" s="109">
        <v>570600</v>
      </c>
    </row>
    <row r="37" spans="1:69" x14ac:dyDescent="0.2">
      <c r="A37" s="20" t="s">
        <v>65</v>
      </c>
      <c r="B37" s="21" t="s">
        <v>66</v>
      </c>
      <c r="C37" s="54">
        <v>17884</v>
      </c>
      <c r="D37" s="56">
        <v>18000</v>
      </c>
      <c r="E37" s="57">
        <v>18000</v>
      </c>
      <c r="F37" s="57">
        <v>17500</v>
      </c>
      <c r="G37" s="57">
        <v>17400</v>
      </c>
      <c r="H37" s="57">
        <v>17500</v>
      </c>
      <c r="I37" s="57">
        <v>17500</v>
      </c>
      <c r="J37" s="57">
        <v>17800</v>
      </c>
      <c r="K37" s="57">
        <v>17600</v>
      </c>
      <c r="L37" s="57">
        <v>17400</v>
      </c>
      <c r="M37" s="58">
        <v>17405</v>
      </c>
      <c r="N37" s="56">
        <v>17600</v>
      </c>
      <c r="O37" s="57">
        <v>18400</v>
      </c>
      <c r="P37" s="57">
        <v>19200</v>
      </c>
      <c r="Q37" s="57">
        <v>19700</v>
      </c>
      <c r="R37" s="57">
        <v>21200</v>
      </c>
      <c r="S37" s="57">
        <v>22900</v>
      </c>
      <c r="T37" s="57">
        <v>24300</v>
      </c>
      <c r="U37" s="57">
        <v>25700</v>
      </c>
      <c r="V37" s="57">
        <v>27400</v>
      </c>
      <c r="W37" s="58">
        <v>28979</v>
      </c>
      <c r="X37" s="56">
        <v>29393</v>
      </c>
      <c r="Y37" s="57">
        <v>29727</v>
      </c>
      <c r="Z37" s="57">
        <v>30043</v>
      </c>
      <c r="AA37" s="57">
        <v>30447</v>
      </c>
      <c r="AB37" s="57">
        <v>30667</v>
      </c>
      <c r="AC37" s="57">
        <v>30618</v>
      </c>
      <c r="AD37" s="57">
        <v>30796</v>
      </c>
      <c r="AE37" s="57">
        <v>30725</v>
      </c>
      <c r="AF37" s="57">
        <v>30799</v>
      </c>
      <c r="AG37" s="58">
        <v>30948</v>
      </c>
      <c r="AH37" s="56">
        <v>31617</v>
      </c>
      <c r="AI37" s="57">
        <v>32339</v>
      </c>
      <c r="AJ37" s="57">
        <v>33250</v>
      </c>
      <c r="AK37" s="57">
        <v>34250</v>
      </c>
      <c r="AL37" s="57">
        <v>35523</v>
      </c>
      <c r="AM37" s="57">
        <v>36504</v>
      </c>
      <c r="AN37" s="57">
        <v>37405</v>
      </c>
      <c r="AO37" s="57">
        <v>38253</v>
      </c>
      <c r="AP37" s="57">
        <v>39122</v>
      </c>
      <c r="AQ37" s="58">
        <v>40066</v>
      </c>
      <c r="AR37" s="93">
        <v>40331</v>
      </c>
      <c r="AS37" s="94">
        <v>40611</v>
      </c>
      <c r="AT37" s="94">
        <v>40960</v>
      </c>
      <c r="AU37" s="94">
        <v>41333</v>
      </c>
      <c r="AV37" s="94">
        <v>41792</v>
      </c>
      <c r="AW37" s="94">
        <v>42355</v>
      </c>
      <c r="AX37" s="94">
        <v>42759</v>
      </c>
      <c r="AY37" s="94">
        <v>43283</v>
      </c>
      <c r="AZ37" s="94">
        <v>43510</v>
      </c>
      <c r="BA37" s="58">
        <v>43531</v>
      </c>
      <c r="BB37" s="63">
        <v>43781</v>
      </c>
      <c r="BC37" s="57">
        <v>43976</v>
      </c>
      <c r="BD37" s="57">
        <v>44135</v>
      </c>
      <c r="BE37" s="64">
        <v>44485</v>
      </c>
      <c r="BF37" s="64">
        <v>44729</v>
      </c>
      <c r="BG37" s="64">
        <v>44908</v>
      </c>
      <c r="BH37" s="104">
        <v>45161</v>
      </c>
      <c r="BI37" s="104">
        <v>45592</v>
      </c>
      <c r="BJ37" s="104">
        <v>46111</v>
      </c>
      <c r="BK37" s="109">
        <v>46445</v>
      </c>
      <c r="BL37" s="124">
        <v>46725</v>
      </c>
      <c r="BM37" s="104">
        <v>47050</v>
      </c>
      <c r="BN37" s="104">
        <v>47350</v>
      </c>
      <c r="BO37" s="131">
        <v>47650</v>
      </c>
      <c r="BP37" s="131">
        <v>47800</v>
      </c>
      <c r="BQ37" s="109">
        <v>48025</v>
      </c>
    </row>
    <row r="38" spans="1:69" x14ac:dyDescent="0.2">
      <c r="A38" s="20" t="s">
        <v>67</v>
      </c>
      <c r="B38" s="21" t="s">
        <v>68</v>
      </c>
      <c r="C38" s="54">
        <v>55049</v>
      </c>
      <c r="D38" s="56">
        <v>56800</v>
      </c>
      <c r="E38" s="57">
        <v>59000</v>
      </c>
      <c r="F38" s="57">
        <v>60300</v>
      </c>
      <c r="G38" s="57">
        <v>62000</v>
      </c>
      <c r="H38" s="57">
        <v>64400</v>
      </c>
      <c r="I38" s="57">
        <v>66600</v>
      </c>
      <c r="J38" s="57">
        <v>69700</v>
      </c>
      <c r="K38" s="57">
        <v>72900</v>
      </c>
      <c r="L38" s="57">
        <v>76500</v>
      </c>
      <c r="M38" s="58">
        <v>76894</v>
      </c>
      <c r="N38" s="56">
        <v>78900</v>
      </c>
      <c r="O38" s="57">
        <v>80400</v>
      </c>
      <c r="P38" s="57">
        <v>81800</v>
      </c>
      <c r="Q38" s="57">
        <v>87000</v>
      </c>
      <c r="R38" s="57">
        <v>90500</v>
      </c>
      <c r="S38" s="57">
        <v>95900</v>
      </c>
      <c r="T38" s="57">
        <v>100900</v>
      </c>
      <c r="U38" s="57">
        <v>110100</v>
      </c>
      <c r="V38" s="57">
        <v>115700</v>
      </c>
      <c r="W38" s="58">
        <v>124264</v>
      </c>
      <c r="X38" s="56">
        <v>128418</v>
      </c>
      <c r="Y38" s="57">
        <v>131506</v>
      </c>
      <c r="Z38" s="57">
        <v>134135</v>
      </c>
      <c r="AA38" s="57">
        <v>136896</v>
      </c>
      <c r="AB38" s="57">
        <v>139738</v>
      </c>
      <c r="AC38" s="57">
        <v>143375</v>
      </c>
      <c r="AD38" s="57">
        <v>146732</v>
      </c>
      <c r="AE38" s="57">
        <v>150189</v>
      </c>
      <c r="AF38" s="57">
        <v>156056</v>
      </c>
      <c r="AG38" s="58">
        <v>161238</v>
      </c>
      <c r="AH38" s="56">
        <v>167663</v>
      </c>
      <c r="AI38" s="57">
        <v>172425</v>
      </c>
      <c r="AJ38" s="57">
        <v>177058</v>
      </c>
      <c r="AK38" s="57">
        <v>181715</v>
      </c>
      <c r="AL38" s="57">
        <v>186419</v>
      </c>
      <c r="AM38" s="57">
        <v>190409</v>
      </c>
      <c r="AN38" s="57">
        <v>194440</v>
      </c>
      <c r="AO38" s="57">
        <v>198435</v>
      </c>
      <c r="AP38" s="57">
        <v>203167</v>
      </c>
      <c r="AQ38" s="58">
        <v>207355</v>
      </c>
      <c r="AR38" s="93">
        <v>210102</v>
      </c>
      <c r="AS38" s="94">
        <v>214139</v>
      </c>
      <c r="AT38" s="94">
        <v>218264</v>
      </c>
      <c r="AU38" s="94">
        <v>223065</v>
      </c>
      <c r="AV38" s="94">
        <v>229286</v>
      </c>
      <c r="AW38" s="94">
        <v>234083</v>
      </c>
      <c r="AX38" s="94">
        <v>239570</v>
      </c>
      <c r="AY38" s="94">
        <v>244853</v>
      </c>
      <c r="AZ38" s="94">
        <v>249336</v>
      </c>
      <c r="BA38" s="58">
        <v>252264</v>
      </c>
      <c r="BB38" s="63">
        <v>254999</v>
      </c>
      <c r="BC38" s="57">
        <v>258517</v>
      </c>
      <c r="BD38" s="57">
        <v>262682</v>
      </c>
      <c r="BE38" s="64">
        <v>267616</v>
      </c>
      <c r="BF38" s="64">
        <v>271409</v>
      </c>
      <c r="BG38" s="64">
        <v>276016</v>
      </c>
      <c r="BH38" s="104">
        <v>280399</v>
      </c>
      <c r="BI38" s="104">
        <v>285842</v>
      </c>
      <c r="BJ38" s="104">
        <v>289597</v>
      </c>
      <c r="BK38" s="109">
        <v>294793</v>
      </c>
      <c r="BL38" s="124">
        <v>297800</v>
      </c>
      <c r="BM38" s="104">
        <v>300500</v>
      </c>
      <c r="BN38" s="104">
        <v>303400</v>
      </c>
      <c r="BO38" s="131">
        <v>307000</v>
      </c>
      <c r="BP38" s="131">
        <v>309100</v>
      </c>
      <c r="BQ38" s="109">
        <v>312400</v>
      </c>
    </row>
    <row r="39" spans="1:69" x14ac:dyDescent="0.2">
      <c r="A39" s="20" t="s">
        <v>69</v>
      </c>
      <c r="B39" s="21" t="s">
        <v>70</v>
      </c>
      <c r="C39" s="54">
        <v>3426</v>
      </c>
      <c r="D39" s="56">
        <v>3500</v>
      </c>
      <c r="E39" s="57">
        <v>3500</v>
      </c>
      <c r="F39" s="57">
        <v>3300</v>
      </c>
      <c r="G39" s="57">
        <v>3300</v>
      </c>
      <c r="H39" s="57">
        <v>3400</v>
      </c>
      <c r="I39" s="57">
        <v>3400</v>
      </c>
      <c r="J39" s="57">
        <v>3600</v>
      </c>
      <c r="K39" s="57">
        <v>3300</v>
      </c>
      <c r="L39" s="57">
        <v>3400</v>
      </c>
      <c r="M39" s="58">
        <v>3592</v>
      </c>
      <c r="N39" s="56">
        <v>3600</v>
      </c>
      <c r="O39" s="57">
        <v>3700</v>
      </c>
      <c r="P39" s="57">
        <v>3600</v>
      </c>
      <c r="Q39" s="57">
        <v>3600</v>
      </c>
      <c r="R39" s="57">
        <v>3700</v>
      </c>
      <c r="S39" s="57">
        <v>3682</v>
      </c>
      <c r="T39" s="57">
        <v>3700</v>
      </c>
      <c r="U39" s="57">
        <v>3800</v>
      </c>
      <c r="V39" s="57">
        <v>3800</v>
      </c>
      <c r="W39" s="58">
        <v>3832</v>
      </c>
      <c r="X39" s="56">
        <v>3747</v>
      </c>
      <c r="Y39" s="57">
        <v>3759</v>
      </c>
      <c r="Z39" s="57">
        <v>3706</v>
      </c>
      <c r="AA39" s="57">
        <v>3686</v>
      </c>
      <c r="AB39" s="57">
        <v>3505</v>
      </c>
      <c r="AC39" s="57">
        <v>3413</v>
      </c>
      <c r="AD39" s="57">
        <v>3409</v>
      </c>
      <c r="AE39" s="57">
        <v>3352</v>
      </c>
      <c r="AF39" s="57">
        <v>3357</v>
      </c>
      <c r="AG39" s="58">
        <v>3327</v>
      </c>
      <c r="AH39" s="56">
        <v>3347</v>
      </c>
      <c r="AI39" s="57">
        <v>3358</v>
      </c>
      <c r="AJ39" s="57">
        <v>3420</v>
      </c>
      <c r="AK39" s="57">
        <v>3482</v>
      </c>
      <c r="AL39" s="57">
        <v>3546</v>
      </c>
      <c r="AM39" s="57">
        <v>3615</v>
      </c>
      <c r="AN39" s="57">
        <v>3656</v>
      </c>
      <c r="AO39" s="57">
        <v>3693</v>
      </c>
      <c r="AP39" s="57">
        <v>3758</v>
      </c>
      <c r="AQ39" s="58">
        <v>3824</v>
      </c>
      <c r="AR39" s="93">
        <v>3831</v>
      </c>
      <c r="AS39" s="94">
        <v>3825</v>
      </c>
      <c r="AT39" s="94">
        <v>3833</v>
      </c>
      <c r="AU39" s="94">
        <v>3826</v>
      </c>
      <c r="AV39" s="94">
        <v>3867</v>
      </c>
      <c r="AW39" s="94">
        <v>3912</v>
      </c>
      <c r="AX39" s="94">
        <v>3963</v>
      </c>
      <c r="AY39" s="94">
        <v>4005</v>
      </c>
      <c r="AZ39" s="94">
        <v>4003</v>
      </c>
      <c r="BA39" s="58">
        <v>3978</v>
      </c>
      <c r="BB39" s="63">
        <v>4018</v>
      </c>
      <c r="BC39" s="57">
        <v>4050</v>
      </c>
      <c r="BD39" s="57">
        <v>4053</v>
      </c>
      <c r="BE39" s="64">
        <v>4099</v>
      </c>
      <c r="BF39" s="64">
        <v>4128</v>
      </c>
      <c r="BG39" s="64">
        <v>4179</v>
      </c>
      <c r="BH39" s="104">
        <v>4227</v>
      </c>
      <c r="BI39" s="104">
        <v>4293</v>
      </c>
      <c r="BJ39" s="104">
        <v>4373</v>
      </c>
      <c r="BK39" s="109">
        <v>4422</v>
      </c>
      <c r="BL39" s="124">
        <v>4475</v>
      </c>
      <c r="BM39" s="104">
        <v>4525</v>
      </c>
      <c r="BN39" s="104">
        <v>4550</v>
      </c>
      <c r="BO39" s="131">
        <v>4550</v>
      </c>
      <c r="BP39" s="131">
        <v>4550</v>
      </c>
      <c r="BQ39" s="109">
        <v>4600</v>
      </c>
    </row>
    <row r="40" spans="1:69" x14ac:dyDescent="0.2">
      <c r="A40" s="20" t="s">
        <v>71</v>
      </c>
      <c r="B40" s="21" t="s">
        <v>72</v>
      </c>
      <c r="C40" s="54">
        <v>42195</v>
      </c>
      <c r="D40" s="56">
        <v>42000</v>
      </c>
      <c r="E40" s="57">
        <v>42200</v>
      </c>
      <c r="F40" s="57">
        <v>41600</v>
      </c>
      <c r="G40" s="57">
        <v>41500</v>
      </c>
      <c r="H40" s="57">
        <v>41400</v>
      </c>
      <c r="I40" s="57">
        <v>41200</v>
      </c>
      <c r="J40" s="57">
        <v>42000</v>
      </c>
      <c r="K40" s="57">
        <v>41300</v>
      </c>
      <c r="L40" s="57">
        <v>41000</v>
      </c>
      <c r="M40" s="58">
        <v>42176</v>
      </c>
      <c r="N40" s="56">
        <v>42600</v>
      </c>
      <c r="O40" s="57">
        <v>42100</v>
      </c>
      <c r="P40" s="57">
        <v>42600</v>
      </c>
      <c r="Q40" s="57">
        <v>42800</v>
      </c>
      <c r="R40" s="57">
        <v>43500</v>
      </c>
      <c r="S40" s="57">
        <v>43800</v>
      </c>
      <c r="T40" s="57">
        <v>44400</v>
      </c>
      <c r="U40" s="57">
        <v>44900</v>
      </c>
      <c r="V40" s="57">
        <v>46100</v>
      </c>
      <c r="W40" s="58">
        <v>47435</v>
      </c>
      <c r="X40" s="56">
        <v>47134</v>
      </c>
      <c r="Y40" s="57">
        <v>47712</v>
      </c>
      <c r="Z40" s="57">
        <v>48248</v>
      </c>
      <c r="AA40" s="57">
        <v>48345</v>
      </c>
      <c r="AB40" s="57">
        <v>48287</v>
      </c>
      <c r="AC40" s="57">
        <v>48163</v>
      </c>
      <c r="AD40" s="57">
        <v>48170</v>
      </c>
      <c r="AE40" s="57">
        <v>48085</v>
      </c>
      <c r="AF40" s="57">
        <v>48277</v>
      </c>
      <c r="AG40" s="58">
        <v>48439</v>
      </c>
      <c r="AH40" s="56">
        <v>48817</v>
      </c>
      <c r="AI40" s="57">
        <v>49361</v>
      </c>
      <c r="AJ40" s="57">
        <v>50015</v>
      </c>
      <c r="AK40" s="57">
        <v>50761</v>
      </c>
      <c r="AL40" s="57">
        <v>51461</v>
      </c>
      <c r="AM40" s="57">
        <v>52162</v>
      </c>
      <c r="AN40" s="57">
        <v>53029</v>
      </c>
      <c r="AO40" s="57">
        <v>53962</v>
      </c>
      <c r="AP40" s="57">
        <v>54496</v>
      </c>
      <c r="AQ40" s="58">
        <v>55180</v>
      </c>
      <c r="AR40" s="93">
        <v>55102</v>
      </c>
      <c r="AS40" s="94">
        <v>55242</v>
      </c>
      <c r="AT40" s="94">
        <v>55560</v>
      </c>
      <c r="AU40" s="94">
        <v>56167</v>
      </c>
      <c r="AV40" s="94">
        <v>57005</v>
      </c>
      <c r="AW40" s="94">
        <v>57224</v>
      </c>
      <c r="AX40" s="94">
        <v>57754</v>
      </c>
      <c r="AY40" s="94">
        <v>58063</v>
      </c>
      <c r="AZ40" s="94">
        <v>58561</v>
      </c>
      <c r="BA40" s="58">
        <v>58781</v>
      </c>
      <c r="BB40" s="63">
        <v>58871</v>
      </c>
      <c r="BC40" s="57">
        <v>59309</v>
      </c>
      <c r="BD40" s="57">
        <v>59640</v>
      </c>
      <c r="BE40" s="64">
        <v>60459</v>
      </c>
      <c r="BF40" s="64">
        <v>61036</v>
      </c>
      <c r="BG40" s="64">
        <v>61045</v>
      </c>
      <c r="BH40" s="104">
        <v>61428</v>
      </c>
      <c r="BI40" s="104">
        <v>61663</v>
      </c>
      <c r="BJ40" s="104">
        <v>62117</v>
      </c>
      <c r="BK40" s="109">
        <v>62584</v>
      </c>
      <c r="BL40" s="124">
        <v>62100</v>
      </c>
      <c r="BM40" s="104">
        <v>62625</v>
      </c>
      <c r="BN40" s="104">
        <v>63100</v>
      </c>
      <c r="BO40" s="131">
        <v>63375</v>
      </c>
      <c r="BP40" s="131">
        <v>63800</v>
      </c>
      <c r="BQ40" s="109">
        <v>64100</v>
      </c>
    </row>
    <row r="41" spans="1:69" x14ac:dyDescent="0.2">
      <c r="A41" s="20" t="s">
        <v>73</v>
      </c>
      <c r="B41" s="21" t="s">
        <v>74</v>
      </c>
      <c r="C41" s="54">
        <v>70317</v>
      </c>
      <c r="D41" s="56">
        <v>71300</v>
      </c>
      <c r="E41" s="57">
        <v>72500</v>
      </c>
      <c r="F41" s="57">
        <v>72800</v>
      </c>
      <c r="G41" s="57">
        <v>73700</v>
      </c>
      <c r="H41" s="57">
        <v>75100</v>
      </c>
      <c r="I41" s="57">
        <v>76600</v>
      </c>
      <c r="J41" s="57">
        <v>79100</v>
      </c>
      <c r="K41" s="57">
        <v>81200</v>
      </c>
      <c r="L41" s="57">
        <v>82000</v>
      </c>
      <c r="M41" s="58">
        <v>81983</v>
      </c>
      <c r="N41" s="56">
        <v>85000</v>
      </c>
      <c r="O41" s="57">
        <v>87300</v>
      </c>
      <c r="P41" s="57">
        <v>87700</v>
      </c>
      <c r="Q41" s="57">
        <v>89700</v>
      </c>
      <c r="R41" s="57">
        <v>91700</v>
      </c>
      <c r="S41" s="57">
        <v>94600</v>
      </c>
      <c r="T41" s="57">
        <v>97000</v>
      </c>
      <c r="U41" s="57">
        <v>100500</v>
      </c>
      <c r="V41" s="57">
        <v>103400</v>
      </c>
      <c r="W41" s="58">
        <v>106701</v>
      </c>
      <c r="X41" s="56">
        <v>109379</v>
      </c>
      <c r="Y41" s="57">
        <v>110986</v>
      </c>
      <c r="Z41" s="57">
        <v>112035</v>
      </c>
      <c r="AA41" s="57">
        <v>113718</v>
      </c>
      <c r="AB41" s="57">
        <v>115483</v>
      </c>
      <c r="AC41" s="57">
        <v>116203</v>
      </c>
      <c r="AD41" s="57">
        <v>117671</v>
      </c>
      <c r="AE41" s="57">
        <v>119879</v>
      </c>
      <c r="AF41" s="57">
        <v>123675</v>
      </c>
      <c r="AG41" s="58">
        <v>127780</v>
      </c>
      <c r="AH41" s="56">
        <v>132669</v>
      </c>
      <c r="AI41" s="57">
        <v>137791</v>
      </c>
      <c r="AJ41" s="57">
        <v>141270</v>
      </c>
      <c r="AK41" s="57">
        <v>146056</v>
      </c>
      <c r="AL41" s="57">
        <v>149942</v>
      </c>
      <c r="AM41" s="57">
        <v>154122</v>
      </c>
      <c r="AN41" s="57">
        <v>157071</v>
      </c>
      <c r="AO41" s="57">
        <v>160667</v>
      </c>
      <c r="AP41" s="57">
        <v>163774</v>
      </c>
      <c r="AQ41" s="58">
        <v>166826</v>
      </c>
      <c r="AR41" s="93">
        <v>170980</v>
      </c>
      <c r="AS41" s="94">
        <v>174238</v>
      </c>
      <c r="AT41" s="94">
        <v>175984</v>
      </c>
      <c r="AU41" s="94">
        <v>180245</v>
      </c>
      <c r="AV41" s="94">
        <v>184965</v>
      </c>
      <c r="AW41" s="94">
        <v>190088</v>
      </c>
      <c r="AX41" s="94">
        <v>195298</v>
      </c>
      <c r="AY41" s="94">
        <v>197675</v>
      </c>
      <c r="AZ41" s="94">
        <v>199736</v>
      </c>
      <c r="BA41" s="58">
        <v>201140</v>
      </c>
      <c r="BB41" s="63">
        <v>202277</v>
      </c>
      <c r="BC41" s="57">
        <v>203683</v>
      </c>
      <c r="BD41" s="57">
        <v>206021</v>
      </c>
      <c r="BE41" s="64">
        <v>207937</v>
      </c>
      <c r="BF41" s="64">
        <v>210116</v>
      </c>
      <c r="BG41" s="64">
        <v>212669</v>
      </c>
      <c r="BH41" s="104">
        <v>216113</v>
      </c>
      <c r="BI41" s="104">
        <v>220057</v>
      </c>
      <c r="BJ41" s="104">
        <v>223930</v>
      </c>
      <c r="BK41" s="109">
        <v>226847</v>
      </c>
      <c r="BL41" s="124">
        <v>226300</v>
      </c>
      <c r="BM41" s="104">
        <v>231650</v>
      </c>
      <c r="BN41" s="104">
        <v>235800</v>
      </c>
      <c r="BO41" s="131">
        <v>238000</v>
      </c>
      <c r="BP41" s="131">
        <v>240500</v>
      </c>
      <c r="BQ41" s="109">
        <v>242250</v>
      </c>
    </row>
    <row r="42" spans="1:69" x14ac:dyDescent="0.2">
      <c r="A42" s="20" t="s">
        <v>75</v>
      </c>
      <c r="B42" s="21" t="s">
        <v>76</v>
      </c>
      <c r="C42" s="54">
        <v>31263</v>
      </c>
      <c r="D42" s="56">
        <v>31900</v>
      </c>
      <c r="E42" s="57">
        <v>32400</v>
      </c>
      <c r="F42" s="57">
        <v>33000</v>
      </c>
      <c r="G42" s="57">
        <v>33400</v>
      </c>
      <c r="H42" s="57">
        <v>34000</v>
      </c>
      <c r="I42" s="57">
        <v>34700</v>
      </c>
      <c r="J42" s="57">
        <v>35800</v>
      </c>
      <c r="K42" s="57">
        <v>37300</v>
      </c>
      <c r="L42" s="57">
        <v>37000</v>
      </c>
      <c r="M42" s="58">
        <v>37900</v>
      </c>
      <c r="N42" s="56">
        <v>38100</v>
      </c>
      <c r="O42" s="57">
        <v>38200</v>
      </c>
      <c r="P42" s="57">
        <v>38300</v>
      </c>
      <c r="Q42" s="57">
        <v>38600</v>
      </c>
      <c r="R42" s="57">
        <v>38900</v>
      </c>
      <c r="S42" s="57">
        <v>39100</v>
      </c>
      <c r="T42" s="57">
        <v>39300</v>
      </c>
      <c r="U42" s="57">
        <v>39600</v>
      </c>
      <c r="V42" s="57">
        <v>39800</v>
      </c>
      <c r="W42" s="58">
        <v>40103</v>
      </c>
      <c r="X42" s="56">
        <v>40833</v>
      </c>
      <c r="Y42" s="57">
        <v>40061</v>
      </c>
      <c r="Z42" s="57">
        <v>39830</v>
      </c>
      <c r="AA42" s="57">
        <v>39123</v>
      </c>
      <c r="AB42" s="57">
        <v>39512</v>
      </c>
      <c r="AC42" s="57">
        <v>38781</v>
      </c>
      <c r="AD42" s="57">
        <v>38309</v>
      </c>
      <c r="AE42" s="57">
        <v>38022</v>
      </c>
      <c r="AF42" s="57">
        <v>38267</v>
      </c>
      <c r="AG42" s="58">
        <v>38775</v>
      </c>
      <c r="AH42" s="56">
        <v>38560</v>
      </c>
      <c r="AI42" s="57">
        <v>38770</v>
      </c>
      <c r="AJ42" s="57">
        <v>38909</v>
      </c>
      <c r="AK42" s="57">
        <v>39064</v>
      </c>
      <c r="AL42" s="57">
        <v>39451</v>
      </c>
      <c r="AM42" s="57">
        <v>39590</v>
      </c>
      <c r="AN42" s="57">
        <v>40154</v>
      </c>
      <c r="AO42" s="57">
        <v>40610</v>
      </c>
      <c r="AP42" s="57">
        <v>40842</v>
      </c>
      <c r="AQ42" s="58">
        <v>40740</v>
      </c>
      <c r="AR42" s="93">
        <v>40537</v>
      </c>
      <c r="AS42" s="94">
        <v>41002</v>
      </c>
      <c r="AT42" s="94">
        <v>40954</v>
      </c>
      <c r="AU42" s="94">
        <v>41686</v>
      </c>
      <c r="AV42" s="94">
        <v>42498</v>
      </c>
      <c r="AW42" s="94">
        <v>42848</v>
      </c>
      <c r="AX42" s="94">
        <v>42793</v>
      </c>
      <c r="AY42" s="94">
        <v>44066</v>
      </c>
      <c r="AZ42" s="94">
        <v>44005</v>
      </c>
      <c r="BA42" s="58">
        <v>44776</v>
      </c>
      <c r="BB42" s="63">
        <v>44488</v>
      </c>
      <c r="BC42" s="57">
        <v>45424</v>
      </c>
      <c r="BD42" s="57">
        <v>45498</v>
      </c>
      <c r="BE42" s="64">
        <v>45817</v>
      </c>
      <c r="BF42" s="64">
        <v>46380</v>
      </c>
      <c r="BG42" s="64">
        <v>46623</v>
      </c>
      <c r="BH42" s="104">
        <v>46961</v>
      </c>
      <c r="BI42" s="104">
        <v>47217</v>
      </c>
      <c r="BJ42" s="104">
        <v>47871</v>
      </c>
      <c r="BK42" s="109">
        <v>47973</v>
      </c>
      <c r="BL42" s="124">
        <v>44600</v>
      </c>
      <c r="BM42" s="104">
        <v>47800</v>
      </c>
      <c r="BN42" s="104">
        <v>48100</v>
      </c>
      <c r="BO42" s="131">
        <v>48750</v>
      </c>
      <c r="BP42" s="131">
        <v>49450</v>
      </c>
      <c r="BQ42" s="109">
        <v>49000</v>
      </c>
    </row>
    <row r="43" spans="1:69" x14ac:dyDescent="0.2">
      <c r="A43" s="20" t="s">
        <v>77</v>
      </c>
      <c r="B43" s="21" t="s">
        <v>78</v>
      </c>
      <c r="C43" s="54">
        <v>145112</v>
      </c>
      <c r="D43" s="56">
        <v>145100</v>
      </c>
      <c r="E43" s="57">
        <v>145000</v>
      </c>
      <c r="F43" s="57">
        <v>143800</v>
      </c>
      <c r="G43" s="57">
        <v>143200</v>
      </c>
      <c r="H43" s="57">
        <v>143400</v>
      </c>
      <c r="I43" s="57">
        <v>143400</v>
      </c>
      <c r="J43" s="57">
        <v>144600</v>
      </c>
      <c r="K43" s="57">
        <v>145500</v>
      </c>
      <c r="L43" s="57">
        <v>143700</v>
      </c>
      <c r="M43" s="58">
        <v>145212</v>
      </c>
      <c r="N43" s="56">
        <v>147400</v>
      </c>
      <c r="O43" s="57">
        <v>147400</v>
      </c>
      <c r="P43" s="57">
        <v>148300</v>
      </c>
      <c r="Q43" s="57">
        <v>152100</v>
      </c>
      <c r="R43" s="57">
        <v>155500</v>
      </c>
      <c r="S43" s="57">
        <v>157900</v>
      </c>
      <c r="T43" s="57">
        <v>161200</v>
      </c>
      <c r="U43" s="57">
        <v>165200</v>
      </c>
      <c r="V43" s="57">
        <v>168100</v>
      </c>
      <c r="W43" s="58">
        <v>172508</v>
      </c>
      <c r="X43" s="56">
        <v>174302</v>
      </c>
      <c r="Y43" s="57">
        <v>176106</v>
      </c>
      <c r="Z43" s="57">
        <v>178328</v>
      </c>
      <c r="AA43" s="57">
        <v>180094</v>
      </c>
      <c r="AB43" s="57">
        <v>181469</v>
      </c>
      <c r="AC43" s="57">
        <v>182074</v>
      </c>
      <c r="AD43" s="57">
        <v>183398</v>
      </c>
      <c r="AE43" s="57">
        <v>184710</v>
      </c>
      <c r="AF43" s="57">
        <v>186187</v>
      </c>
      <c r="AG43" s="58">
        <v>188823</v>
      </c>
      <c r="AH43" s="56">
        <v>191490</v>
      </c>
      <c r="AI43" s="57">
        <v>194939</v>
      </c>
      <c r="AJ43" s="57">
        <v>198225</v>
      </c>
      <c r="AK43" s="57">
        <v>202044</v>
      </c>
      <c r="AL43" s="57">
        <v>206046</v>
      </c>
      <c r="AM43" s="57">
        <v>209381</v>
      </c>
      <c r="AN43" s="57">
        <v>212375</v>
      </c>
      <c r="AO43" s="57">
        <v>215587</v>
      </c>
      <c r="AP43" s="57">
        <v>219483</v>
      </c>
      <c r="AQ43" s="58">
        <v>222581</v>
      </c>
      <c r="AR43" s="93">
        <v>224229</v>
      </c>
      <c r="AS43" s="94">
        <v>224790</v>
      </c>
      <c r="AT43" s="94">
        <v>227956</v>
      </c>
      <c r="AU43" s="94">
        <v>230002</v>
      </c>
      <c r="AV43" s="94">
        <v>231902</v>
      </c>
      <c r="AW43" s="94">
        <v>234408</v>
      </c>
      <c r="AX43" s="94">
        <v>236923</v>
      </c>
      <c r="AY43" s="94">
        <v>239524</v>
      </c>
      <c r="AZ43" s="94">
        <v>241708</v>
      </c>
      <c r="BA43" s="58">
        <v>243231</v>
      </c>
      <c r="BB43" s="63">
        <v>244553</v>
      </c>
      <c r="BC43" s="57">
        <v>245605</v>
      </c>
      <c r="BD43" s="57">
        <v>246825</v>
      </c>
      <c r="BE43" s="64">
        <v>248229</v>
      </c>
      <c r="BF43" s="64">
        <v>249314</v>
      </c>
      <c r="BG43" s="64">
        <v>251046</v>
      </c>
      <c r="BH43" s="104">
        <v>252692</v>
      </c>
      <c r="BI43" s="104">
        <v>253814</v>
      </c>
      <c r="BJ43" s="104">
        <v>254770</v>
      </c>
      <c r="BK43" s="109">
        <v>256728</v>
      </c>
      <c r="BL43" s="124">
        <v>258100</v>
      </c>
      <c r="BM43" s="104">
        <v>259950</v>
      </c>
      <c r="BN43" s="104">
        <v>261200</v>
      </c>
      <c r="BO43" s="131">
        <v>263200</v>
      </c>
      <c r="BP43" s="131">
        <v>264650</v>
      </c>
      <c r="BQ43" s="109">
        <v>265775</v>
      </c>
    </row>
    <row r="44" spans="1:69" x14ac:dyDescent="0.2">
      <c r="A44" s="22" t="s">
        <v>79</v>
      </c>
      <c r="B44" s="23" t="s">
        <v>80</v>
      </c>
      <c r="C44" s="55">
        <v>2853214</v>
      </c>
      <c r="D44" s="59">
        <v>2897000</v>
      </c>
      <c r="E44" s="60">
        <v>2948000</v>
      </c>
      <c r="F44" s="60">
        <v>2972000</v>
      </c>
      <c r="G44" s="60">
        <v>3008000</v>
      </c>
      <c r="H44" s="60">
        <v>3065000</v>
      </c>
      <c r="I44" s="60">
        <v>3125000</v>
      </c>
      <c r="J44" s="60">
        <v>3229000</v>
      </c>
      <c r="K44" s="60">
        <v>3336000</v>
      </c>
      <c r="L44" s="60">
        <v>3397000</v>
      </c>
      <c r="M44" s="61">
        <v>3413250</v>
      </c>
      <c r="N44" s="59">
        <v>3436300</v>
      </c>
      <c r="O44" s="60">
        <v>3430300</v>
      </c>
      <c r="P44" s="60">
        <v>3444300</v>
      </c>
      <c r="Q44" s="60">
        <v>3508700</v>
      </c>
      <c r="R44" s="60">
        <v>3567890</v>
      </c>
      <c r="S44" s="60">
        <v>3634891</v>
      </c>
      <c r="T44" s="60">
        <v>3715375</v>
      </c>
      <c r="U44" s="60">
        <v>3836200</v>
      </c>
      <c r="V44" s="60">
        <v>3979200</v>
      </c>
      <c r="W44" s="61">
        <v>4132353</v>
      </c>
      <c r="X44" s="59">
        <v>4229281</v>
      </c>
      <c r="Y44" s="60">
        <v>4276549</v>
      </c>
      <c r="Z44" s="60">
        <v>4307248</v>
      </c>
      <c r="AA44" s="60">
        <v>4354070</v>
      </c>
      <c r="AB44" s="60">
        <v>4415785</v>
      </c>
      <c r="AC44" s="60">
        <v>4462211</v>
      </c>
      <c r="AD44" s="60">
        <v>4527101</v>
      </c>
      <c r="AE44" s="60">
        <v>4616886</v>
      </c>
      <c r="AF44" s="60">
        <v>4728076</v>
      </c>
      <c r="AG44" s="61">
        <v>4866663</v>
      </c>
      <c r="AH44" s="59">
        <v>5000353</v>
      </c>
      <c r="AI44" s="60">
        <v>5091138</v>
      </c>
      <c r="AJ44" s="60">
        <v>5188009</v>
      </c>
      <c r="AK44" s="60">
        <v>5291577</v>
      </c>
      <c r="AL44" s="60">
        <v>5396569</v>
      </c>
      <c r="AM44" s="60">
        <v>5483103</v>
      </c>
      <c r="AN44" s="60">
        <v>5579140</v>
      </c>
      <c r="AO44" s="60">
        <v>5685459</v>
      </c>
      <c r="AP44" s="60">
        <v>5792214</v>
      </c>
      <c r="AQ44" s="61">
        <v>5894143</v>
      </c>
      <c r="AR44" s="95">
        <v>5970452</v>
      </c>
      <c r="AS44" s="96">
        <v>6059698</v>
      </c>
      <c r="AT44" s="96">
        <v>6126917</v>
      </c>
      <c r="AU44" s="96">
        <v>6208532</v>
      </c>
      <c r="AV44" s="96">
        <v>6298797</v>
      </c>
      <c r="AW44" s="96">
        <v>6420219</v>
      </c>
      <c r="AX44" s="96">
        <v>6525121</v>
      </c>
      <c r="AY44" s="96">
        <v>6608234</v>
      </c>
      <c r="AZ44" s="96">
        <v>6672263</v>
      </c>
      <c r="BA44" s="61">
        <v>6724540</v>
      </c>
      <c r="BB44" s="59">
        <v>6777903</v>
      </c>
      <c r="BC44" s="60">
        <v>6831660</v>
      </c>
      <c r="BD44" s="60">
        <v>6906026</v>
      </c>
      <c r="BE44" s="65">
        <v>7005209</v>
      </c>
      <c r="BF44" s="65">
        <v>7106620</v>
      </c>
      <c r="BG44" s="65">
        <v>7237219</v>
      </c>
      <c r="BH44" s="105">
        <v>7344073</v>
      </c>
      <c r="BI44" s="105">
        <v>7463479</v>
      </c>
      <c r="BJ44" s="105">
        <v>7581818</v>
      </c>
      <c r="BK44" s="110">
        <v>7706310</v>
      </c>
      <c r="BL44" s="125">
        <v>7766975</v>
      </c>
      <c r="BM44" s="105">
        <v>7864400</v>
      </c>
      <c r="BN44" s="105">
        <v>7951150</v>
      </c>
      <c r="BO44" s="132">
        <v>8035700</v>
      </c>
      <c r="BP44" s="132">
        <v>8115100</v>
      </c>
      <c r="BQ44" s="110">
        <v>8176300</v>
      </c>
    </row>
    <row r="46" spans="1:69" x14ac:dyDescent="0.2">
      <c r="A46" s="113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9" x14ac:dyDescent="0.2">
      <c r="A47" s="113"/>
    </row>
  </sheetData>
  <pageMargins left="0.5" right="0.5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7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3" style="3" bestFit="1" customWidth="1"/>
    <col min="2" max="2" width="20" style="3" bestFit="1" customWidth="1"/>
    <col min="3" max="3" width="10.6640625" style="4" bestFit="1" customWidth="1"/>
    <col min="4" max="22" width="11.83203125" style="4" customWidth="1"/>
    <col min="23" max="23" width="11.83203125" style="5" customWidth="1"/>
    <col min="24" max="58" width="11.83203125" style="4" customWidth="1"/>
    <col min="59" max="69" width="11.83203125" style="6" customWidth="1"/>
    <col min="70" max="16384" width="9.33203125" style="6"/>
  </cols>
  <sheetData>
    <row r="1" spans="1:69" s="9" customFormat="1" ht="12" x14ac:dyDescent="0.2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9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113</v>
      </c>
      <c r="E4" s="28" t="s">
        <v>114</v>
      </c>
      <c r="F4" s="28" t="s">
        <v>115</v>
      </c>
      <c r="G4" s="28" t="s">
        <v>116</v>
      </c>
      <c r="H4" s="28" t="s">
        <v>117</v>
      </c>
      <c r="I4" s="28" t="s">
        <v>118</v>
      </c>
      <c r="J4" s="28" t="s">
        <v>119</v>
      </c>
      <c r="K4" s="28" t="s">
        <v>120</v>
      </c>
      <c r="L4" s="28" t="s">
        <v>121</v>
      </c>
      <c r="M4" s="29" t="s">
        <v>122</v>
      </c>
      <c r="N4" s="27" t="s">
        <v>123</v>
      </c>
      <c r="O4" s="28" t="s">
        <v>124</v>
      </c>
      <c r="P4" s="28" t="s">
        <v>125</v>
      </c>
      <c r="Q4" s="28" t="s">
        <v>126</v>
      </c>
      <c r="R4" s="28" t="s">
        <v>127</v>
      </c>
      <c r="S4" s="28" t="s">
        <v>128</v>
      </c>
      <c r="T4" s="28" t="s">
        <v>129</v>
      </c>
      <c r="U4" s="28" t="s">
        <v>130</v>
      </c>
      <c r="V4" s="28" t="s">
        <v>131</v>
      </c>
      <c r="W4" s="29" t="s">
        <v>132</v>
      </c>
      <c r="X4" s="27" t="s">
        <v>133</v>
      </c>
      <c r="Y4" s="28" t="s">
        <v>134</v>
      </c>
      <c r="Z4" s="28" t="s">
        <v>135</v>
      </c>
      <c r="AA4" s="28" t="s">
        <v>136</v>
      </c>
      <c r="AB4" s="28" t="s">
        <v>137</v>
      </c>
      <c r="AC4" s="28" t="s">
        <v>138</v>
      </c>
      <c r="AD4" s="28" t="s">
        <v>139</v>
      </c>
      <c r="AE4" s="28" t="s">
        <v>140</v>
      </c>
      <c r="AF4" s="28" t="s">
        <v>141</v>
      </c>
      <c r="AG4" s="29" t="s">
        <v>142</v>
      </c>
      <c r="AH4" s="27" t="s">
        <v>143</v>
      </c>
      <c r="AI4" s="28" t="s">
        <v>144</v>
      </c>
      <c r="AJ4" s="28" t="s">
        <v>145</v>
      </c>
      <c r="AK4" s="28" t="s">
        <v>146</v>
      </c>
      <c r="AL4" s="28" t="s">
        <v>147</v>
      </c>
      <c r="AM4" s="28" t="s">
        <v>148</v>
      </c>
      <c r="AN4" s="28" t="s">
        <v>149</v>
      </c>
      <c r="AO4" s="28" t="s">
        <v>150</v>
      </c>
      <c r="AP4" s="28" t="s">
        <v>151</v>
      </c>
      <c r="AQ4" s="29" t="s">
        <v>152</v>
      </c>
      <c r="AR4" s="27" t="s">
        <v>153</v>
      </c>
      <c r="AS4" s="28" t="s">
        <v>154</v>
      </c>
      <c r="AT4" s="28" t="s">
        <v>155</v>
      </c>
      <c r="AU4" s="28" t="s">
        <v>156</v>
      </c>
      <c r="AV4" s="28" t="s">
        <v>157</v>
      </c>
      <c r="AW4" s="28" t="s">
        <v>158</v>
      </c>
      <c r="AX4" s="28" t="s">
        <v>159</v>
      </c>
      <c r="AY4" s="28" t="s">
        <v>160</v>
      </c>
      <c r="AZ4" s="28" t="s">
        <v>161</v>
      </c>
      <c r="BA4" s="29" t="s">
        <v>162</v>
      </c>
      <c r="BB4" s="114" t="s">
        <v>163</v>
      </c>
      <c r="BC4" s="115" t="s">
        <v>164</v>
      </c>
      <c r="BD4" s="115" t="s">
        <v>271</v>
      </c>
      <c r="BE4" s="116" t="s">
        <v>348</v>
      </c>
      <c r="BF4" s="117" t="s">
        <v>352</v>
      </c>
      <c r="BG4" s="117" t="s">
        <v>357</v>
      </c>
      <c r="BH4" s="117" t="s">
        <v>362</v>
      </c>
      <c r="BI4" s="117" t="s">
        <v>429</v>
      </c>
      <c r="BJ4" s="117" t="s">
        <v>434</v>
      </c>
      <c r="BK4" s="118" t="s">
        <v>439</v>
      </c>
      <c r="BL4" s="97" t="s">
        <v>541</v>
      </c>
      <c r="BM4" s="72" t="s">
        <v>460</v>
      </c>
      <c r="BN4" s="72" t="s">
        <v>467</v>
      </c>
      <c r="BO4" s="117" t="s">
        <v>545</v>
      </c>
      <c r="BP4" s="117" t="s">
        <v>552</v>
      </c>
      <c r="BQ4" s="66" t="s">
        <v>560</v>
      </c>
    </row>
    <row r="5" spans="1:69" x14ac:dyDescent="0.2">
      <c r="A5" s="20" t="s">
        <v>0</v>
      </c>
      <c r="B5" s="21" t="s">
        <v>1</v>
      </c>
      <c r="C5" s="25" t="s">
        <v>2</v>
      </c>
      <c r="D5" s="30">
        <v>171</v>
      </c>
      <c r="E5" s="31">
        <v>200</v>
      </c>
      <c r="F5" s="31">
        <v>-200</v>
      </c>
      <c r="G5" s="31">
        <v>100</v>
      </c>
      <c r="H5" s="31">
        <v>200</v>
      </c>
      <c r="I5" s="31">
        <v>200</v>
      </c>
      <c r="J5" s="31">
        <v>400</v>
      </c>
      <c r="K5" s="31">
        <v>0</v>
      </c>
      <c r="L5" s="31">
        <v>400</v>
      </c>
      <c r="M5" s="32">
        <v>614</v>
      </c>
      <c r="N5" s="30">
        <v>186</v>
      </c>
      <c r="O5" s="31">
        <v>400</v>
      </c>
      <c r="P5" s="31">
        <v>100</v>
      </c>
      <c r="Q5" s="31">
        <v>0</v>
      </c>
      <c r="R5" s="31">
        <v>400</v>
      </c>
      <c r="S5" s="31">
        <v>609</v>
      </c>
      <c r="T5" s="31">
        <v>191</v>
      </c>
      <c r="U5" s="31">
        <v>100</v>
      </c>
      <c r="V5" s="31">
        <v>-200</v>
      </c>
      <c r="W5" s="32">
        <v>-533</v>
      </c>
      <c r="X5" s="30">
        <v>56</v>
      </c>
      <c r="Y5" s="31">
        <v>84</v>
      </c>
      <c r="Z5" s="31">
        <v>-29</v>
      </c>
      <c r="AA5" s="31">
        <v>11</v>
      </c>
      <c r="AB5" s="31">
        <v>29</v>
      </c>
      <c r="AC5" s="31">
        <v>12</v>
      </c>
      <c r="AD5" s="31">
        <v>38</v>
      </c>
      <c r="AE5" s="31">
        <v>35</v>
      </c>
      <c r="AF5" s="31">
        <v>67</v>
      </c>
      <c r="AG5" s="32">
        <v>33</v>
      </c>
      <c r="AH5" s="30">
        <v>220</v>
      </c>
      <c r="AI5" s="31">
        <v>240</v>
      </c>
      <c r="AJ5" s="31">
        <v>272</v>
      </c>
      <c r="AK5" s="31">
        <v>344</v>
      </c>
      <c r="AL5" s="31">
        <v>351</v>
      </c>
      <c r="AM5" s="31">
        <v>293</v>
      </c>
      <c r="AN5" s="31">
        <v>375</v>
      </c>
      <c r="AO5" s="31">
        <v>181</v>
      </c>
      <c r="AP5" s="31">
        <v>272</v>
      </c>
      <c r="AQ5" s="32">
        <v>277</v>
      </c>
      <c r="AR5" s="87">
        <v>271</v>
      </c>
      <c r="AS5" s="88">
        <v>212</v>
      </c>
      <c r="AT5" s="88">
        <v>170</v>
      </c>
      <c r="AU5" s="88">
        <v>408</v>
      </c>
      <c r="AV5" s="88">
        <v>154</v>
      </c>
      <c r="AW5" s="88">
        <v>47</v>
      </c>
      <c r="AX5" s="88">
        <v>269</v>
      </c>
      <c r="AY5" s="88">
        <v>255</v>
      </c>
      <c r="AZ5" s="88">
        <v>207</v>
      </c>
      <c r="BA5" s="89">
        <v>307</v>
      </c>
      <c r="BB5" s="5">
        <v>121</v>
      </c>
      <c r="BC5" s="5">
        <v>164</v>
      </c>
      <c r="BD5" s="5">
        <v>159</v>
      </c>
      <c r="BE5" s="5">
        <v>137</v>
      </c>
      <c r="BF5" s="5">
        <v>142</v>
      </c>
      <c r="BG5" s="5">
        <v>192</v>
      </c>
      <c r="BH5" s="5">
        <v>425</v>
      </c>
      <c r="BI5" s="5">
        <v>132</v>
      </c>
      <c r="BJ5" s="5">
        <v>135</v>
      </c>
      <c r="BK5" s="123">
        <v>278</v>
      </c>
      <c r="BL5" s="98">
        <v>287</v>
      </c>
      <c r="BM5" s="5">
        <v>200</v>
      </c>
      <c r="BN5" s="5">
        <v>100</v>
      </c>
      <c r="BO5" s="5">
        <v>275</v>
      </c>
      <c r="BP5" s="5">
        <v>75</v>
      </c>
      <c r="BQ5" s="123">
        <f>Population!BQ5-Population!BP5</f>
        <v>450</v>
      </c>
    </row>
    <row r="6" spans="1:69" x14ac:dyDescent="0.2">
      <c r="A6" s="20" t="s">
        <v>3</v>
      </c>
      <c r="B6" s="21" t="s">
        <v>4</v>
      </c>
      <c r="C6" s="25" t="s">
        <v>2</v>
      </c>
      <c r="D6" s="30">
        <v>-209</v>
      </c>
      <c r="E6" s="31">
        <v>300</v>
      </c>
      <c r="F6" s="31">
        <v>100</v>
      </c>
      <c r="G6" s="31">
        <v>-200</v>
      </c>
      <c r="H6" s="31">
        <v>0</v>
      </c>
      <c r="I6" s="31">
        <v>200</v>
      </c>
      <c r="J6" s="31">
        <v>500</v>
      </c>
      <c r="K6" s="31">
        <v>0</v>
      </c>
      <c r="L6" s="31">
        <v>-100</v>
      </c>
      <c r="M6" s="32">
        <v>299</v>
      </c>
      <c r="N6" s="30">
        <v>201</v>
      </c>
      <c r="O6" s="31">
        <v>500</v>
      </c>
      <c r="P6" s="31">
        <v>0</v>
      </c>
      <c r="Q6" s="31">
        <v>200</v>
      </c>
      <c r="R6" s="31">
        <v>100</v>
      </c>
      <c r="S6" s="31">
        <v>100</v>
      </c>
      <c r="T6" s="31">
        <v>600</v>
      </c>
      <c r="U6" s="31">
        <v>500</v>
      </c>
      <c r="V6" s="31">
        <v>400</v>
      </c>
      <c r="W6" s="32">
        <v>423</v>
      </c>
      <c r="X6" s="30">
        <v>-19</v>
      </c>
      <c r="Y6" s="31">
        <v>104</v>
      </c>
      <c r="Z6" s="31">
        <v>-69</v>
      </c>
      <c r="AA6" s="31">
        <v>175</v>
      </c>
      <c r="AB6" s="31">
        <v>140</v>
      </c>
      <c r="AC6" s="31">
        <v>-124</v>
      </c>
      <c r="AD6" s="31">
        <v>66</v>
      </c>
      <c r="AE6" s="31">
        <v>93</v>
      </c>
      <c r="AF6" s="31">
        <v>137</v>
      </c>
      <c r="AG6" s="32">
        <v>279</v>
      </c>
      <c r="AH6" s="30">
        <v>72</v>
      </c>
      <c r="AI6" s="31">
        <v>189</v>
      </c>
      <c r="AJ6" s="31">
        <v>258</v>
      </c>
      <c r="AK6" s="31">
        <v>542</v>
      </c>
      <c r="AL6" s="31">
        <v>271</v>
      </c>
      <c r="AM6" s="31">
        <v>685</v>
      </c>
      <c r="AN6" s="31">
        <v>321</v>
      </c>
      <c r="AO6" s="31">
        <v>259</v>
      </c>
      <c r="AP6" s="31">
        <v>240</v>
      </c>
      <c r="AQ6" s="32">
        <v>109</v>
      </c>
      <c r="AR6" s="87">
        <v>99</v>
      </c>
      <c r="AS6" s="88">
        <v>2</v>
      </c>
      <c r="AT6" s="88">
        <v>57</v>
      </c>
      <c r="AU6" s="88">
        <v>70</v>
      </c>
      <c r="AV6" s="88">
        <v>160</v>
      </c>
      <c r="AW6" s="88">
        <v>237</v>
      </c>
      <c r="AX6" s="88">
        <v>237</v>
      </c>
      <c r="AY6" s="88">
        <v>109</v>
      </c>
      <c r="AZ6" s="88">
        <v>71</v>
      </c>
      <c r="BA6" s="89">
        <v>30</v>
      </c>
      <c r="BB6" s="119">
        <v>44</v>
      </c>
      <c r="BC6" s="120">
        <v>13</v>
      </c>
      <c r="BD6" s="120">
        <v>45</v>
      </c>
      <c r="BE6" s="121">
        <v>65</v>
      </c>
      <c r="BF6" s="122">
        <v>99</v>
      </c>
      <c r="BG6" s="122">
        <v>114</v>
      </c>
      <c r="BH6" s="122">
        <v>44</v>
      </c>
      <c r="BI6" s="122">
        <v>65</v>
      </c>
      <c r="BJ6" s="122">
        <v>70</v>
      </c>
      <c r="BK6" s="123">
        <v>103</v>
      </c>
      <c r="BL6" s="126">
        <v>215</v>
      </c>
      <c r="BM6" s="5">
        <v>100</v>
      </c>
      <c r="BN6" s="5">
        <v>50</v>
      </c>
      <c r="BO6" s="5">
        <v>75</v>
      </c>
      <c r="BP6" s="5">
        <v>25</v>
      </c>
      <c r="BQ6" s="123">
        <f>Population!BQ6-Population!BP6</f>
        <v>200</v>
      </c>
    </row>
    <row r="7" spans="1:69" x14ac:dyDescent="0.2">
      <c r="A7" s="20" t="s">
        <v>5</v>
      </c>
      <c r="B7" s="21" t="s">
        <v>6</v>
      </c>
      <c r="C7" s="25" t="s">
        <v>2</v>
      </c>
      <c r="D7" s="30">
        <v>230</v>
      </c>
      <c r="E7" s="31">
        <v>500</v>
      </c>
      <c r="F7" s="31">
        <v>-400</v>
      </c>
      <c r="G7" s="31">
        <v>-100</v>
      </c>
      <c r="H7" s="31">
        <v>200</v>
      </c>
      <c r="I7" s="31">
        <v>600</v>
      </c>
      <c r="J7" s="31">
        <v>1200</v>
      </c>
      <c r="K7" s="31">
        <v>900</v>
      </c>
      <c r="L7" s="31">
        <v>800</v>
      </c>
      <c r="M7" s="32">
        <v>1540</v>
      </c>
      <c r="N7" s="30">
        <v>-40</v>
      </c>
      <c r="O7" s="31">
        <v>200</v>
      </c>
      <c r="P7" s="31">
        <v>500</v>
      </c>
      <c r="Q7" s="31">
        <v>1900</v>
      </c>
      <c r="R7" s="31">
        <v>4400</v>
      </c>
      <c r="S7" s="31">
        <v>6300</v>
      </c>
      <c r="T7" s="31">
        <v>6100</v>
      </c>
      <c r="U7" s="31">
        <v>7400</v>
      </c>
      <c r="V7" s="31">
        <v>8500</v>
      </c>
      <c r="W7" s="32">
        <v>6644</v>
      </c>
      <c r="X7" s="30">
        <v>1164</v>
      </c>
      <c r="Y7" s="31">
        <v>3657</v>
      </c>
      <c r="Z7" s="31">
        <v>-1210</v>
      </c>
      <c r="AA7" s="31">
        <v>-3123</v>
      </c>
      <c r="AB7" s="31">
        <v>-1480</v>
      </c>
      <c r="AC7" s="31">
        <v>389</v>
      </c>
      <c r="AD7" s="31">
        <v>796</v>
      </c>
      <c r="AE7" s="31">
        <v>771</v>
      </c>
      <c r="AF7" s="31">
        <v>947</v>
      </c>
      <c r="AG7" s="32">
        <v>1205</v>
      </c>
      <c r="AH7" s="30">
        <v>1879</v>
      </c>
      <c r="AI7" s="31">
        <v>2064</v>
      </c>
      <c r="AJ7" s="31">
        <v>2871</v>
      </c>
      <c r="AK7" s="31">
        <v>4083</v>
      </c>
      <c r="AL7" s="31">
        <v>4902</v>
      </c>
      <c r="AM7" s="31">
        <v>4231</v>
      </c>
      <c r="AN7" s="31">
        <v>3030</v>
      </c>
      <c r="AO7" s="31">
        <v>2097</v>
      </c>
      <c r="AP7" s="31">
        <v>1781</v>
      </c>
      <c r="AQ7" s="32">
        <v>2977</v>
      </c>
      <c r="AR7" s="87">
        <v>2792</v>
      </c>
      <c r="AS7" s="88">
        <v>3023</v>
      </c>
      <c r="AT7" s="88">
        <v>3643</v>
      </c>
      <c r="AU7" s="88">
        <v>3941</v>
      </c>
      <c r="AV7" s="88">
        <v>3412</v>
      </c>
      <c r="AW7" s="88">
        <v>2969</v>
      </c>
      <c r="AX7" s="88">
        <v>2841</v>
      </c>
      <c r="AY7" s="88">
        <v>2502</v>
      </c>
      <c r="AZ7" s="88">
        <v>3804</v>
      </c>
      <c r="BA7" s="89">
        <v>3775</v>
      </c>
      <c r="BB7" s="30">
        <v>2498</v>
      </c>
      <c r="BC7" s="31">
        <v>2440</v>
      </c>
      <c r="BD7" s="31">
        <v>3389</v>
      </c>
      <c r="BE7" s="67">
        <v>3450</v>
      </c>
      <c r="BF7" s="88">
        <v>2566</v>
      </c>
      <c r="BG7" s="88">
        <v>2011</v>
      </c>
      <c r="BH7" s="88">
        <v>3193</v>
      </c>
      <c r="BI7" s="88">
        <v>4007</v>
      </c>
      <c r="BJ7" s="88">
        <v>4091</v>
      </c>
      <c r="BK7" s="123">
        <v>4051</v>
      </c>
      <c r="BL7" s="126">
        <v>2527</v>
      </c>
      <c r="BM7" s="5">
        <v>2900</v>
      </c>
      <c r="BN7" s="5">
        <v>3200</v>
      </c>
      <c r="BO7" s="5">
        <v>2350</v>
      </c>
      <c r="BP7" s="5">
        <v>1775</v>
      </c>
      <c r="BQ7" s="123">
        <f>Population!BQ7-Population!BP7</f>
        <v>3575</v>
      </c>
    </row>
    <row r="8" spans="1:69" x14ac:dyDescent="0.2">
      <c r="A8" s="20" t="s">
        <v>7</v>
      </c>
      <c r="B8" s="21" t="s">
        <v>8</v>
      </c>
      <c r="C8" s="25" t="s">
        <v>2</v>
      </c>
      <c r="D8" s="30">
        <v>-144</v>
      </c>
      <c r="E8" s="31">
        <v>100</v>
      </c>
      <c r="F8" s="31">
        <v>-600</v>
      </c>
      <c r="G8" s="31">
        <v>-100</v>
      </c>
      <c r="H8" s="31">
        <v>-200</v>
      </c>
      <c r="I8" s="31">
        <v>-100</v>
      </c>
      <c r="J8" s="31">
        <v>700</v>
      </c>
      <c r="K8" s="31">
        <v>200</v>
      </c>
      <c r="L8" s="31">
        <v>-300</v>
      </c>
      <c r="M8" s="32">
        <v>803</v>
      </c>
      <c r="N8" s="30">
        <v>-103</v>
      </c>
      <c r="O8" s="31">
        <v>-2100</v>
      </c>
      <c r="P8" s="31">
        <v>100</v>
      </c>
      <c r="Q8" s="31">
        <v>700</v>
      </c>
      <c r="R8" s="31">
        <v>500</v>
      </c>
      <c r="S8" s="31">
        <v>500</v>
      </c>
      <c r="T8" s="31">
        <v>700</v>
      </c>
      <c r="U8" s="31">
        <v>1200</v>
      </c>
      <c r="V8" s="31">
        <v>1200</v>
      </c>
      <c r="W8" s="32">
        <v>1261</v>
      </c>
      <c r="X8" s="30">
        <v>989</v>
      </c>
      <c r="Y8" s="31">
        <v>-134</v>
      </c>
      <c r="Z8" s="31">
        <v>1538</v>
      </c>
      <c r="AA8" s="31">
        <v>1166</v>
      </c>
      <c r="AB8" s="31">
        <v>630</v>
      </c>
      <c r="AC8" s="31">
        <v>123</v>
      </c>
      <c r="AD8" s="31">
        <v>141</v>
      </c>
      <c r="AE8" s="31">
        <v>1063</v>
      </c>
      <c r="AF8" s="31">
        <v>496</v>
      </c>
      <c r="AG8" s="32">
        <v>1177</v>
      </c>
      <c r="AH8" s="30">
        <v>1186</v>
      </c>
      <c r="AI8" s="31">
        <v>1529</v>
      </c>
      <c r="AJ8" s="31">
        <v>1458</v>
      </c>
      <c r="AK8" s="31">
        <v>1896</v>
      </c>
      <c r="AL8" s="31">
        <v>1760</v>
      </c>
      <c r="AM8" s="31">
        <v>1161</v>
      </c>
      <c r="AN8" s="31">
        <v>1655</v>
      </c>
      <c r="AO8" s="31">
        <v>1304</v>
      </c>
      <c r="AP8" s="31">
        <v>1376</v>
      </c>
      <c r="AQ8" s="32">
        <v>1041</v>
      </c>
      <c r="AR8" s="87">
        <v>280</v>
      </c>
      <c r="AS8" s="88">
        <v>504</v>
      </c>
      <c r="AT8" s="88">
        <v>107</v>
      </c>
      <c r="AU8" s="88">
        <v>506</v>
      </c>
      <c r="AV8" s="88">
        <v>950</v>
      </c>
      <c r="AW8" s="88">
        <v>932</v>
      </c>
      <c r="AX8" s="88">
        <v>878</v>
      </c>
      <c r="AY8" s="88">
        <v>1026</v>
      </c>
      <c r="AZ8" s="88">
        <v>386</v>
      </c>
      <c r="BA8" s="89">
        <v>268</v>
      </c>
      <c r="BB8" s="30">
        <v>380</v>
      </c>
      <c r="BC8" s="31">
        <v>333</v>
      </c>
      <c r="BD8" s="31">
        <v>225</v>
      </c>
      <c r="BE8" s="67">
        <v>1014</v>
      </c>
      <c r="BF8" s="88">
        <v>468</v>
      </c>
      <c r="BG8" s="88">
        <v>627</v>
      </c>
      <c r="BH8" s="88">
        <v>838</v>
      </c>
      <c r="BI8" s="88">
        <v>1127</v>
      </c>
      <c r="BJ8" s="88">
        <v>479</v>
      </c>
      <c r="BK8" s="123">
        <v>1197</v>
      </c>
      <c r="BL8" s="126">
        <v>859</v>
      </c>
      <c r="BM8" s="5">
        <v>650</v>
      </c>
      <c r="BN8" s="5">
        <v>850</v>
      </c>
      <c r="BO8" s="5">
        <v>800</v>
      </c>
      <c r="BP8" s="5">
        <v>600</v>
      </c>
      <c r="BQ8" s="123">
        <f>Population!BQ8-Population!BP8</f>
        <v>625</v>
      </c>
    </row>
    <row r="9" spans="1:69" x14ac:dyDescent="0.2">
      <c r="A9" s="20" t="s">
        <v>9</v>
      </c>
      <c r="B9" s="21" t="s">
        <v>10</v>
      </c>
      <c r="C9" s="25" t="s">
        <v>2</v>
      </c>
      <c r="D9" s="30">
        <v>378</v>
      </c>
      <c r="E9" s="31">
        <v>600</v>
      </c>
      <c r="F9" s="31">
        <v>-100</v>
      </c>
      <c r="G9" s="31">
        <v>400</v>
      </c>
      <c r="H9" s="31">
        <v>600</v>
      </c>
      <c r="I9" s="31">
        <v>600</v>
      </c>
      <c r="J9" s="31">
        <v>1100</v>
      </c>
      <c r="K9" s="31">
        <v>700</v>
      </c>
      <c r="L9" s="31">
        <v>300</v>
      </c>
      <c r="M9" s="32">
        <v>170</v>
      </c>
      <c r="N9" s="30">
        <v>930</v>
      </c>
      <c r="O9" s="31">
        <v>600</v>
      </c>
      <c r="P9" s="31">
        <v>1400</v>
      </c>
      <c r="Q9" s="31">
        <v>1600</v>
      </c>
      <c r="R9" s="31">
        <v>1800</v>
      </c>
      <c r="S9" s="31">
        <v>2000</v>
      </c>
      <c r="T9" s="31">
        <v>900</v>
      </c>
      <c r="U9" s="31">
        <v>2300</v>
      </c>
      <c r="V9" s="31">
        <v>3000</v>
      </c>
      <c r="W9" s="32">
        <v>2348</v>
      </c>
      <c r="X9" s="30">
        <v>243</v>
      </c>
      <c r="Y9" s="31">
        <v>-406</v>
      </c>
      <c r="Z9" s="31">
        <v>570</v>
      </c>
      <c r="AA9" s="31">
        <v>492</v>
      </c>
      <c r="AB9" s="31">
        <v>-82</v>
      </c>
      <c r="AC9" s="31">
        <v>372</v>
      </c>
      <c r="AD9" s="31">
        <v>-43</v>
      </c>
      <c r="AE9" s="31">
        <v>1602</v>
      </c>
      <c r="AF9" s="31">
        <v>861</v>
      </c>
      <c r="AG9" s="32">
        <v>947</v>
      </c>
      <c r="AH9" s="30">
        <v>1422</v>
      </c>
      <c r="AI9" s="31">
        <v>649</v>
      </c>
      <c r="AJ9" s="31">
        <v>880</v>
      </c>
      <c r="AK9" s="31">
        <v>764</v>
      </c>
      <c r="AL9" s="31">
        <v>629</v>
      </c>
      <c r="AM9" s="31">
        <v>921</v>
      </c>
      <c r="AN9" s="31">
        <v>568</v>
      </c>
      <c r="AO9" s="31">
        <v>896</v>
      </c>
      <c r="AP9" s="31">
        <v>492</v>
      </c>
      <c r="AQ9" s="32">
        <v>754</v>
      </c>
      <c r="AR9" s="87">
        <v>538</v>
      </c>
      <c r="AS9" s="88">
        <v>681</v>
      </c>
      <c r="AT9" s="88">
        <v>530</v>
      </c>
      <c r="AU9" s="88">
        <v>797</v>
      </c>
      <c r="AV9" s="88">
        <v>947</v>
      </c>
      <c r="AW9" s="88">
        <v>1276</v>
      </c>
      <c r="AX9" s="88">
        <v>899</v>
      </c>
      <c r="AY9" s="88">
        <v>782</v>
      </c>
      <c r="AZ9" s="88">
        <v>398</v>
      </c>
      <c r="BA9" s="89">
        <v>377</v>
      </c>
      <c r="BB9" s="30">
        <v>406</v>
      </c>
      <c r="BC9" s="31">
        <v>573</v>
      </c>
      <c r="BD9" s="31">
        <v>388</v>
      </c>
      <c r="BE9" s="67">
        <v>333</v>
      </c>
      <c r="BF9" s="88">
        <v>378</v>
      </c>
      <c r="BG9" s="88">
        <v>678</v>
      </c>
      <c r="BH9" s="88">
        <v>713</v>
      </c>
      <c r="BI9" s="88">
        <v>640</v>
      </c>
      <c r="BJ9" s="88">
        <v>926</v>
      </c>
      <c r="BK9" s="123">
        <v>716</v>
      </c>
      <c r="BL9" s="126">
        <v>595</v>
      </c>
      <c r="BM9" s="5">
        <v>-125</v>
      </c>
      <c r="BN9" s="5">
        <v>450</v>
      </c>
      <c r="BO9" s="5">
        <v>475</v>
      </c>
      <c r="BP9" s="5">
        <v>100</v>
      </c>
      <c r="BQ9" s="123">
        <f>Population!BQ9-Population!BP9</f>
        <v>600</v>
      </c>
    </row>
    <row r="10" spans="1:69" x14ac:dyDescent="0.2">
      <c r="A10" s="20" t="s">
        <v>11</v>
      </c>
      <c r="B10" s="21" t="s">
        <v>12</v>
      </c>
      <c r="C10" s="25" t="s">
        <v>2</v>
      </c>
      <c r="D10" s="30">
        <v>2991</v>
      </c>
      <c r="E10" s="31">
        <v>3100</v>
      </c>
      <c r="F10" s="31">
        <v>2300</v>
      </c>
      <c r="G10" s="31">
        <v>2800</v>
      </c>
      <c r="H10" s="31">
        <v>3500</v>
      </c>
      <c r="I10" s="31">
        <v>3400</v>
      </c>
      <c r="J10" s="31">
        <v>5300</v>
      </c>
      <c r="K10" s="31">
        <v>5300</v>
      </c>
      <c r="L10" s="31">
        <v>6500</v>
      </c>
      <c r="M10" s="32">
        <v>-546</v>
      </c>
      <c r="N10" s="30">
        <v>4946</v>
      </c>
      <c r="O10" s="31">
        <v>7800</v>
      </c>
      <c r="P10" s="31">
        <v>4000</v>
      </c>
      <c r="Q10" s="31">
        <v>6400</v>
      </c>
      <c r="R10" s="31">
        <v>5200</v>
      </c>
      <c r="S10" s="31">
        <v>4200</v>
      </c>
      <c r="T10" s="31">
        <v>7400</v>
      </c>
      <c r="U10" s="31">
        <v>6100</v>
      </c>
      <c r="V10" s="31">
        <v>9000</v>
      </c>
      <c r="W10" s="32">
        <v>8727</v>
      </c>
      <c r="X10" s="30">
        <v>4248</v>
      </c>
      <c r="Y10" s="31">
        <v>3210</v>
      </c>
      <c r="Z10" s="31">
        <v>2480</v>
      </c>
      <c r="AA10" s="31">
        <v>1592</v>
      </c>
      <c r="AB10" s="31">
        <v>2987</v>
      </c>
      <c r="AC10" s="31">
        <v>3679</v>
      </c>
      <c r="AD10" s="31">
        <v>3538</v>
      </c>
      <c r="AE10" s="31">
        <v>5089</v>
      </c>
      <c r="AF10" s="31">
        <v>7138</v>
      </c>
      <c r="AG10" s="32">
        <v>11865</v>
      </c>
      <c r="AH10" s="30">
        <v>10364</v>
      </c>
      <c r="AI10" s="31">
        <v>7498</v>
      </c>
      <c r="AJ10" s="31">
        <v>8633</v>
      </c>
      <c r="AK10" s="31">
        <v>9875</v>
      </c>
      <c r="AL10" s="31">
        <v>12381</v>
      </c>
      <c r="AM10" s="31">
        <v>11560</v>
      </c>
      <c r="AN10" s="31">
        <v>12148</v>
      </c>
      <c r="AO10" s="31">
        <v>13380</v>
      </c>
      <c r="AP10" s="31">
        <v>10749</v>
      </c>
      <c r="AQ10" s="32">
        <v>10597</v>
      </c>
      <c r="AR10" s="87">
        <v>7477</v>
      </c>
      <c r="AS10" s="88">
        <v>12140</v>
      </c>
      <c r="AT10" s="88">
        <v>9236</v>
      </c>
      <c r="AU10" s="88">
        <v>11279</v>
      </c>
      <c r="AV10" s="88">
        <v>9230</v>
      </c>
      <c r="AW10" s="88">
        <v>10137</v>
      </c>
      <c r="AX10" s="88">
        <v>7955</v>
      </c>
      <c r="AY10" s="88">
        <v>6399</v>
      </c>
      <c r="AZ10" s="88">
        <v>4684</v>
      </c>
      <c r="BA10" s="89">
        <v>1588</v>
      </c>
      <c r="BB10" s="30">
        <v>3263</v>
      </c>
      <c r="BC10" s="31">
        <v>3694</v>
      </c>
      <c r="BD10" s="31">
        <v>4694</v>
      </c>
      <c r="BE10" s="67">
        <v>7436</v>
      </c>
      <c r="BF10" s="88">
        <v>8084</v>
      </c>
      <c r="BG10" s="88">
        <v>9335</v>
      </c>
      <c r="BH10" s="88">
        <v>10612</v>
      </c>
      <c r="BI10" s="88">
        <v>8471</v>
      </c>
      <c r="BJ10" s="88">
        <v>9741</v>
      </c>
      <c r="BK10" s="123">
        <v>12618</v>
      </c>
      <c r="BL10" s="126">
        <v>9789</v>
      </c>
      <c r="BM10" s="5">
        <v>7800</v>
      </c>
      <c r="BN10" s="5">
        <v>6500</v>
      </c>
      <c r="BO10" s="5">
        <v>8900</v>
      </c>
      <c r="BP10" s="5">
        <v>6100</v>
      </c>
      <c r="BQ10" s="123">
        <f>Population!BQ10-Population!BP10</f>
        <v>7600</v>
      </c>
    </row>
    <row r="11" spans="1:69" x14ac:dyDescent="0.2">
      <c r="A11" s="20" t="s">
        <v>13</v>
      </c>
      <c r="B11" s="21" t="s">
        <v>14</v>
      </c>
      <c r="C11" s="25" t="s">
        <v>2</v>
      </c>
      <c r="D11" s="30">
        <v>31</v>
      </c>
      <c r="E11" s="31">
        <v>-200</v>
      </c>
      <c r="F11" s="31">
        <v>100</v>
      </c>
      <c r="G11" s="31">
        <v>0</v>
      </c>
      <c r="H11" s="31">
        <v>-200</v>
      </c>
      <c r="I11" s="31">
        <v>100</v>
      </c>
      <c r="J11" s="31">
        <v>100</v>
      </c>
      <c r="K11" s="31">
        <v>200</v>
      </c>
      <c r="L11" s="31">
        <v>-200</v>
      </c>
      <c r="M11" s="32">
        <v>-61</v>
      </c>
      <c r="N11" s="30">
        <v>-39</v>
      </c>
      <c r="O11" s="31">
        <v>0</v>
      </c>
      <c r="P11" s="31">
        <v>-100</v>
      </c>
      <c r="Q11" s="31">
        <v>0</v>
      </c>
      <c r="R11" s="31">
        <v>-100</v>
      </c>
      <c r="S11" s="31">
        <v>0</v>
      </c>
      <c r="T11" s="31">
        <v>-100</v>
      </c>
      <c r="U11" s="31">
        <v>0</v>
      </c>
      <c r="V11" s="31">
        <v>0</v>
      </c>
      <c r="W11" s="32">
        <v>-43</v>
      </c>
      <c r="X11" s="30">
        <v>7</v>
      </c>
      <c r="Y11" s="31">
        <v>-4</v>
      </c>
      <c r="Z11" s="31">
        <v>-15</v>
      </c>
      <c r="AA11" s="31">
        <v>0</v>
      </c>
      <c r="AB11" s="31">
        <v>1</v>
      </c>
      <c r="AC11" s="31">
        <v>-2</v>
      </c>
      <c r="AD11" s="31">
        <v>-4</v>
      </c>
      <c r="AE11" s="31">
        <v>5</v>
      </c>
      <c r="AF11" s="31">
        <v>8</v>
      </c>
      <c r="AG11" s="32">
        <v>-29</v>
      </c>
      <c r="AH11" s="30">
        <v>20</v>
      </c>
      <c r="AI11" s="31">
        <v>-3</v>
      </c>
      <c r="AJ11" s="31">
        <v>6</v>
      </c>
      <c r="AK11" s="31">
        <v>6</v>
      </c>
      <c r="AL11" s="31">
        <v>-2</v>
      </c>
      <c r="AM11" s="31">
        <v>0</v>
      </c>
      <c r="AN11" s="31">
        <v>5</v>
      </c>
      <c r="AO11" s="31">
        <v>2</v>
      </c>
      <c r="AP11" s="31">
        <v>4</v>
      </c>
      <c r="AQ11" s="32">
        <v>2</v>
      </c>
      <c r="AR11" s="87">
        <v>50</v>
      </c>
      <c r="AS11" s="88">
        <v>1</v>
      </c>
      <c r="AT11" s="88">
        <v>-4</v>
      </c>
      <c r="AU11" s="88">
        <v>11</v>
      </c>
      <c r="AV11" s="88">
        <v>13</v>
      </c>
      <c r="AW11" s="88">
        <v>-7</v>
      </c>
      <c r="AX11" s="88">
        <v>-33</v>
      </c>
      <c r="AY11" s="88">
        <v>4</v>
      </c>
      <c r="AZ11" s="88">
        <v>-2</v>
      </c>
      <c r="BA11" s="89">
        <v>-19</v>
      </c>
      <c r="BB11" s="30">
        <v>-9</v>
      </c>
      <c r="BC11" s="31">
        <v>-30</v>
      </c>
      <c r="BD11" s="31">
        <v>-2</v>
      </c>
      <c r="BE11" s="67">
        <v>-34</v>
      </c>
      <c r="BF11" s="88">
        <v>4</v>
      </c>
      <c r="BG11" s="88">
        <v>-17</v>
      </c>
      <c r="BH11" s="88">
        <v>-11</v>
      </c>
      <c r="BI11" s="88">
        <v>-9</v>
      </c>
      <c r="BJ11" s="88">
        <v>-8</v>
      </c>
      <c r="BK11" s="123">
        <v>-10</v>
      </c>
      <c r="BL11" s="126">
        <v>-2</v>
      </c>
      <c r="BM11" s="5">
        <v>0</v>
      </c>
      <c r="BN11" s="5">
        <v>0</v>
      </c>
      <c r="BO11" s="5">
        <v>25</v>
      </c>
      <c r="BP11" s="5">
        <v>-25</v>
      </c>
      <c r="BQ11" s="123">
        <f>Population!BQ11-Population!BP11</f>
        <v>-25</v>
      </c>
    </row>
    <row r="12" spans="1:69" x14ac:dyDescent="0.2">
      <c r="A12" s="20" t="s">
        <v>15</v>
      </c>
      <c r="B12" s="21" t="s">
        <v>16</v>
      </c>
      <c r="C12" s="25" t="s">
        <v>2</v>
      </c>
      <c r="D12" s="30">
        <v>999</v>
      </c>
      <c r="E12" s="31">
        <v>1000</v>
      </c>
      <c r="F12" s="31">
        <v>800</v>
      </c>
      <c r="G12" s="31">
        <v>800</v>
      </c>
      <c r="H12" s="31">
        <v>1100</v>
      </c>
      <c r="I12" s="31">
        <v>1300</v>
      </c>
      <c r="J12" s="31">
        <v>2100</v>
      </c>
      <c r="K12" s="31">
        <v>2300</v>
      </c>
      <c r="L12" s="31">
        <v>800</v>
      </c>
      <c r="M12" s="32">
        <v>-384</v>
      </c>
      <c r="N12" s="30">
        <v>884</v>
      </c>
      <c r="O12" s="31">
        <v>-300</v>
      </c>
      <c r="P12" s="31">
        <v>600</v>
      </c>
      <c r="Q12" s="31">
        <v>1100</v>
      </c>
      <c r="R12" s="31">
        <v>1200</v>
      </c>
      <c r="S12" s="31">
        <v>300</v>
      </c>
      <c r="T12" s="31">
        <v>1300</v>
      </c>
      <c r="U12" s="31">
        <v>2000</v>
      </c>
      <c r="V12" s="31">
        <v>2300</v>
      </c>
      <c r="W12" s="32">
        <v>1548</v>
      </c>
      <c r="X12" s="30">
        <v>61</v>
      </c>
      <c r="Y12" s="31">
        <v>-610</v>
      </c>
      <c r="Z12" s="31">
        <v>335</v>
      </c>
      <c r="AA12" s="31">
        <v>156</v>
      </c>
      <c r="AB12" s="31">
        <v>-231</v>
      </c>
      <c r="AC12" s="31">
        <v>-801</v>
      </c>
      <c r="AD12" s="31">
        <v>472</v>
      </c>
      <c r="AE12" s="31">
        <v>472</v>
      </c>
      <c r="AF12" s="31">
        <v>1465</v>
      </c>
      <c r="AG12" s="32">
        <v>1252</v>
      </c>
      <c r="AH12" s="30">
        <v>743</v>
      </c>
      <c r="AI12" s="31">
        <v>940</v>
      </c>
      <c r="AJ12" s="31">
        <v>1011</v>
      </c>
      <c r="AK12" s="31">
        <v>1108</v>
      </c>
      <c r="AL12" s="31">
        <v>1311</v>
      </c>
      <c r="AM12" s="31">
        <v>1299</v>
      </c>
      <c r="AN12" s="31">
        <v>1037</v>
      </c>
      <c r="AO12" s="31">
        <v>1032</v>
      </c>
      <c r="AP12" s="31">
        <v>1144</v>
      </c>
      <c r="AQ12" s="32">
        <v>1204</v>
      </c>
      <c r="AR12" s="87">
        <v>1133</v>
      </c>
      <c r="AS12" s="88">
        <v>773</v>
      </c>
      <c r="AT12" s="88">
        <v>995</v>
      </c>
      <c r="AU12" s="88">
        <v>744</v>
      </c>
      <c r="AV12" s="88">
        <v>1080</v>
      </c>
      <c r="AW12" s="88">
        <v>1422</v>
      </c>
      <c r="AX12" s="88">
        <v>1282</v>
      </c>
      <c r="AY12" s="88">
        <v>1165</v>
      </c>
      <c r="AZ12" s="88">
        <v>633</v>
      </c>
      <c r="BA12" s="89">
        <v>235</v>
      </c>
      <c r="BB12" s="30">
        <v>320</v>
      </c>
      <c r="BC12" s="31">
        <v>367</v>
      </c>
      <c r="BD12" s="31">
        <v>373</v>
      </c>
      <c r="BE12" s="67">
        <v>573</v>
      </c>
      <c r="BF12" s="88">
        <v>659</v>
      </c>
      <c r="BG12" s="88">
        <v>717</v>
      </c>
      <c r="BH12" s="88">
        <v>1050</v>
      </c>
      <c r="BI12" s="88">
        <v>1313</v>
      </c>
      <c r="BJ12" s="88">
        <v>1533</v>
      </c>
      <c r="BK12" s="123">
        <v>1415</v>
      </c>
      <c r="BL12" s="126">
        <v>770</v>
      </c>
      <c r="BM12" s="5">
        <v>850</v>
      </c>
      <c r="BN12" s="5">
        <v>650</v>
      </c>
      <c r="BO12" s="5">
        <v>900</v>
      </c>
      <c r="BP12" s="5">
        <v>600</v>
      </c>
      <c r="BQ12" s="123">
        <f>Population!BQ12-Population!BP12</f>
        <v>400</v>
      </c>
    </row>
    <row r="13" spans="1:69" x14ac:dyDescent="0.2">
      <c r="A13" s="20" t="s">
        <v>17</v>
      </c>
      <c r="B13" s="21" t="s">
        <v>18</v>
      </c>
      <c r="C13" s="25" t="s">
        <v>2</v>
      </c>
      <c r="D13" s="30">
        <v>210</v>
      </c>
      <c r="E13" s="31">
        <v>-100</v>
      </c>
      <c r="F13" s="31">
        <v>200</v>
      </c>
      <c r="G13" s="31">
        <v>100</v>
      </c>
      <c r="H13" s="31">
        <v>0</v>
      </c>
      <c r="I13" s="31">
        <v>300</v>
      </c>
      <c r="J13" s="31">
        <v>500</v>
      </c>
      <c r="K13" s="31">
        <v>500</v>
      </c>
      <c r="L13" s="31">
        <v>0</v>
      </c>
      <c r="M13" s="32">
        <v>187</v>
      </c>
      <c r="N13" s="30">
        <v>813</v>
      </c>
      <c r="O13" s="31">
        <v>0</v>
      </c>
      <c r="P13" s="31">
        <v>-200</v>
      </c>
      <c r="Q13" s="31">
        <v>400</v>
      </c>
      <c r="R13" s="31">
        <v>500</v>
      </c>
      <c r="S13" s="31">
        <v>1100</v>
      </c>
      <c r="T13" s="31">
        <v>800</v>
      </c>
      <c r="U13" s="31">
        <v>1000</v>
      </c>
      <c r="V13" s="31">
        <v>400</v>
      </c>
      <c r="W13" s="32">
        <v>544</v>
      </c>
      <c r="X13" s="30">
        <v>325</v>
      </c>
      <c r="Y13" s="31">
        <v>8</v>
      </c>
      <c r="Z13" s="31">
        <v>143</v>
      </c>
      <c r="AA13" s="31">
        <v>174</v>
      </c>
      <c r="AB13" s="31">
        <v>412</v>
      </c>
      <c r="AC13" s="31">
        <v>379</v>
      </c>
      <c r="AD13" s="31">
        <v>110</v>
      </c>
      <c r="AE13" s="31">
        <v>734</v>
      </c>
      <c r="AF13" s="31">
        <v>631</v>
      </c>
      <c r="AG13" s="32">
        <v>1145</v>
      </c>
      <c r="AH13" s="30">
        <v>1443</v>
      </c>
      <c r="AI13" s="31">
        <v>-225</v>
      </c>
      <c r="AJ13" s="31">
        <v>720</v>
      </c>
      <c r="AK13" s="31">
        <v>549</v>
      </c>
      <c r="AL13" s="31">
        <v>620</v>
      </c>
      <c r="AM13" s="31">
        <v>655</v>
      </c>
      <c r="AN13" s="31">
        <v>581</v>
      </c>
      <c r="AO13" s="31">
        <v>879</v>
      </c>
      <c r="AP13" s="31">
        <v>608</v>
      </c>
      <c r="AQ13" s="32">
        <v>568</v>
      </c>
      <c r="AR13" s="87">
        <v>214</v>
      </c>
      <c r="AS13" s="88">
        <v>54</v>
      </c>
      <c r="AT13" s="88">
        <v>674</v>
      </c>
      <c r="AU13" s="88">
        <v>399</v>
      </c>
      <c r="AV13" s="88">
        <v>522</v>
      </c>
      <c r="AW13" s="88">
        <v>1039</v>
      </c>
      <c r="AX13" s="88">
        <v>835</v>
      </c>
      <c r="AY13" s="88">
        <v>898</v>
      </c>
      <c r="AZ13" s="88">
        <v>798</v>
      </c>
      <c r="BA13" s="89">
        <v>395</v>
      </c>
      <c r="BB13" s="30">
        <v>245</v>
      </c>
      <c r="BC13" s="31">
        <v>292</v>
      </c>
      <c r="BD13" s="31">
        <v>301</v>
      </c>
      <c r="BE13" s="67">
        <v>288</v>
      </c>
      <c r="BF13" s="88">
        <v>451</v>
      </c>
      <c r="BG13" s="88">
        <v>525</v>
      </c>
      <c r="BH13" s="88">
        <v>509</v>
      </c>
      <c r="BI13" s="88">
        <v>528</v>
      </c>
      <c r="BJ13" s="88">
        <v>581</v>
      </c>
      <c r="BK13" s="123">
        <v>787</v>
      </c>
      <c r="BL13" s="126">
        <v>612</v>
      </c>
      <c r="BM13" s="5">
        <v>450</v>
      </c>
      <c r="BN13" s="5">
        <v>500</v>
      </c>
      <c r="BO13" s="5">
        <v>650</v>
      </c>
      <c r="BP13" s="5">
        <v>300</v>
      </c>
      <c r="BQ13" s="123">
        <f>Population!BQ13-Population!BP13</f>
        <v>400</v>
      </c>
    </row>
    <row r="14" spans="1:69" x14ac:dyDescent="0.2">
      <c r="A14" s="20" t="s">
        <v>19</v>
      </c>
      <c r="B14" s="21" t="s">
        <v>20</v>
      </c>
      <c r="C14" s="25" t="s">
        <v>2</v>
      </c>
      <c r="D14" s="30">
        <v>211</v>
      </c>
      <c r="E14" s="31">
        <v>-300</v>
      </c>
      <c r="F14" s="31">
        <v>100</v>
      </c>
      <c r="G14" s="31">
        <v>0</v>
      </c>
      <c r="H14" s="31">
        <v>-100</v>
      </c>
      <c r="I14" s="31">
        <v>0</v>
      </c>
      <c r="J14" s="31">
        <v>100</v>
      </c>
      <c r="K14" s="31">
        <v>-100</v>
      </c>
      <c r="L14" s="31">
        <v>-200</v>
      </c>
      <c r="M14" s="32">
        <v>55</v>
      </c>
      <c r="N14" s="30">
        <v>45</v>
      </c>
      <c r="O14" s="31">
        <v>300</v>
      </c>
      <c r="P14" s="31">
        <v>100</v>
      </c>
      <c r="Q14" s="31">
        <v>300</v>
      </c>
      <c r="R14" s="31">
        <v>200</v>
      </c>
      <c r="S14" s="31">
        <v>200</v>
      </c>
      <c r="T14" s="31">
        <v>347</v>
      </c>
      <c r="U14" s="31">
        <v>153</v>
      </c>
      <c r="V14" s="31">
        <v>400</v>
      </c>
      <c r="W14" s="32">
        <v>111</v>
      </c>
      <c r="X14" s="30">
        <v>119</v>
      </c>
      <c r="Y14" s="31">
        <v>85</v>
      </c>
      <c r="Z14" s="31">
        <v>39</v>
      </c>
      <c r="AA14" s="31">
        <v>-18</v>
      </c>
      <c r="AB14" s="31">
        <v>-20</v>
      </c>
      <c r="AC14" s="31">
        <v>18</v>
      </c>
      <c r="AD14" s="31">
        <v>-163</v>
      </c>
      <c r="AE14" s="31">
        <v>198</v>
      </c>
      <c r="AF14" s="31">
        <v>81</v>
      </c>
      <c r="AG14" s="32">
        <v>145</v>
      </c>
      <c r="AH14" s="30">
        <v>71</v>
      </c>
      <c r="AI14" s="31">
        <v>99</v>
      </c>
      <c r="AJ14" s="31">
        <v>96</v>
      </c>
      <c r="AK14" s="31">
        <v>87</v>
      </c>
      <c r="AL14" s="31">
        <v>164</v>
      </c>
      <c r="AM14" s="31">
        <v>138</v>
      </c>
      <c r="AN14" s="31">
        <v>108</v>
      </c>
      <c r="AO14" s="31">
        <v>77</v>
      </c>
      <c r="AP14" s="31">
        <v>49</v>
      </c>
      <c r="AQ14" s="32">
        <v>76</v>
      </c>
      <c r="AR14" s="87">
        <v>80</v>
      </c>
      <c r="AS14" s="88">
        <v>38</v>
      </c>
      <c r="AT14" s="88">
        <v>19</v>
      </c>
      <c r="AU14" s="88">
        <v>-30</v>
      </c>
      <c r="AV14" s="88">
        <v>38</v>
      </c>
      <c r="AW14" s="88">
        <v>57</v>
      </c>
      <c r="AX14" s="88">
        <v>22</v>
      </c>
      <c r="AY14" s="88">
        <v>45</v>
      </c>
      <c r="AZ14" s="88">
        <v>34</v>
      </c>
      <c r="BA14" s="89">
        <v>-12</v>
      </c>
      <c r="BB14" s="30">
        <v>-37</v>
      </c>
      <c r="BC14" s="31">
        <v>-37</v>
      </c>
      <c r="BD14" s="31">
        <v>-28</v>
      </c>
      <c r="BE14" s="67">
        <v>-45</v>
      </c>
      <c r="BF14" s="88">
        <v>-50</v>
      </c>
      <c r="BG14" s="88">
        <v>-35</v>
      </c>
      <c r="BH14" s="88">
        <v>-36</v>
      </c>
      <c r="BI14" s="88">
        <v>-49</v>
      </c>
      <c r="BJ14" s="88">
        <v>-25</v>
      </c>
      <c r="BK14" s="123">
        <v>-31</v>
      </c>
      <c r="BL14" s="126">
        <v>72</v>
      </c>
      <c r="BM14" s="5">
        <v>50</v>
      </c>
      <c r="BN14" s="5">
        <v>0</v>
      </c>
      <c r="BO14" s="5">
        <v>50</v>
      </c>
      <c r="BP14" s="5">
        <v>0</v>
      </c>
      <c r="BQ14" s="123">
        <f>Population!BQ14-Population!BP14</f>
        <v>0</v>
      </c>
    </row>
    <row r="15" spans="1:69" x14ac:dyDescent="0.2">
      <c r="A15" s="20" t="s">
        <v>21</v>
      </c>
      <c r="B15" s="21" t="s">
        <v>22</v>
      </c>
      <c r="C15" s="25" t="s">
        <v>2</v>
      </c>
      <c r="D15" s="30">
        <v>158</v>
      </c>
      <c r="E15" s="31">
        <v>400</v>
      </c>
      <c r="F15" s="31">
        <v>-100</v>
      </c>
      <c r="G15" s="31">
        <v>300</v>
      </c>
      <c r="H15" s="31">
        <v>100</v>
      </c>
      <c r="I15" s="31">
        <v>200</v>
      </c>
      <c r="J15" s="31">
        <v>800</v>
      </c>
      <c r="K15" s="31">
        <v>400</v>
      </c>
      <c r="L15" s="31">
        <v>500</v>
      </c>
      <c r="M15" s="32">
        <v>-284</v>
      </c>
      <c r="N15" s="30">
        <v>184</v>
      </c>
      <c r="O15" s="31">
        <v>800</v>
      </c>
      <c r="P15" s="31">
        <v>400</v>
      </c>
      <c r="Q15" s="31">
        <v>200</v>
      </c>
      <c r="R15" s="31">
        <v>-300</v>
      </c>
      <c r="S15" s="31">
        <v>2200</v>
      </c>
      <c r="T15" s="31">
        <v>1000</v>
      </c>
      <c r="U15" s="31">
        <v>2000</v>
      </c>
      <c r="V15" s="31">
        <v>1700</v>
      </c>
      <c r="W15" s="32">
        <v>1025</v>
      </c>
      <c r="X15" s="30">
        <v>717</v>
      </c>
      <c r="Y15" s="31">
        <v>946</v>
      </c>
      <c r="Z15" s="31">
        <v>69</v>
      </c>
      <c r="AA15" s="31">
        <v>230</v>
      </c>
      <c r="AB15" s="31">
        <v>-403</v>
      </c>
      <c r="AC15" s="31">
        <v>-196</v>
      </c>
      <c r="AD15" s="31">
        <v>271</v>
      </c>
      <c r="AE15" s="31">
        <v>251</v>
      </c>
      <c r="AF15" s="31">
        <v>311</v>
      </c>
      <c r="AG15" s="32">
        <v>252</v>
      </c>
      <c r="AH15" s="30">
        <v>1049</v>
      </c>
      <c r="AI15" s="31">
        <v>555</v>
      </c>
      <c r="AJ15" s="31">
        <v>1015</v>
      </c>
      <c r="AK15" s="31">
        <v>1188</v>
      </c>
      <c r="AL15" s="31">
        <v>1236</v>
      </c>
      <c r="AM15" s="31">
        <v>1178</v>
      </c>
      <c r="AN15" s="31">
        <v>1486</v>
      </c>
      <c r="AO15" s="31">
        <v>1285</v>
      </c>
      <c r="AP15" s="31">
        <v>1435</v>
      </c>
      <c r="AQ15" s="32">
        <v>1447</v>
      </c>
      <c r="AR15" s="87">
        <v>1126</v>
      </c>
      <c r="AS15" s="88">
        <v>1813</v>
      </c>
      <c r="AT15" s="88">
        <v>2621</v>
      </c>
      <c r="AU15" s="88">
        <v>3669</v>
      </c>
      <c r="AV15" s="88">
        <v>3996</v>
      </c>
      <c r="AW15" s="88">
        <v>3799</v>
      </c>
      <c r="AX15" s="88">
        <v>3211</v>
      </c>
      <c r="AY15" s="88">
        <v>2648</v>
      </c>
      <c r="AZ15" s="88">
        <v>2881</v>
      </c>
      <c r="BA15" s="89">
        <v>3052</v>
      </c>
      <c r="BB15" s="30">
        <v>2330</v>
      </c>
      <c r="BC15" s="31">
        <v>1991</v>
      </c>
      <c r="BD15" s="31">
        <v>1767</v>
      </c>
      <c r="BE15" s="67">
        <v>2293</v>
      </c>
      <c r="BF15" s="88">
        <v>509</v>
      </c>
      <c r="BG15" s="88">
        <v>1462</v>
      </c>
      <c r="BH15" s="88">
        <v>1521</v>
      </c>
      <c r="BI15" s="88">
        <v>2590</v>
      </c>
      <c r="BJ15" s="88">
        <v>2108</v>
      </c>
      <c r="BK15" s="123">
        <v>2015</v>
      </c>
      <c r="BL15" s="126">
        <v>1601</v>
      </c>
      <c r="BM15" s="5">
        <v>1400</v>
      </c>
      <c r="BN15" s="5">
        <v>1350</v>
      </c>
      <c r="BO15" s="5">
        <v>1200</v>
      </c>
      <c r="BP15" s="5">
        <v>950</v>
      </c>
      <c r="BQ15" s="123">
        <f>Population!BQ15-Population!BP15</f>
        <v>2650</v>
      </c>
    </row>
    <row r="16" spans="1:69" x14ac:dyDescent="0.2">
      <c r="A16" s="20" t="s">
        <v>23</v>
      </c>
      <c r="B16" s="21" t="s">
        <v>24</v>
      </c>
      <c r="C16" s="25" t="s">
        <v>2</v>
      </c>
      <c r="D16" s="30">
        <v>-76</v>
      </c>
      <c r="E16" s="31">
        <v>0</v>
      </c>
      <c r="F16" s="31">
        <v>-200</v>
      </c>
      <c r="G16" s="31">
        <v>0</v>
      </c>
      <c r="H16" s="31">
        <v>100</v>
      </c>
      <c r="I16" s="31">
        <v>0</v>
      </c>
      <c r="J16" s="31">
        <v>100</v>
      </c>
      <c r="K16" s="31">
        <v>0</v>
      </c>
      <c r="L16" s="31">
        <v>-100</v>
      </c>
      <c r="M16" s="32">
        <v>111</v>
      </c>
      <c r="N16" s="30">
        <v>189</v>
      </c>
      <c r="O16" s="31">
        <v>100</v>
      </c>
      <c r="P16" s="31">
        <v>-200</v>
      </c>
      <c r="Q16" s="31">
        <v>-200</v>
      </c>
      <c r="R16" s="31">
        <v>0</v>
      </c>
      <c r="S16" s="31">
        <v>100</v>
      </c>
      <c r="T16" s="31">
        <v>0</v>
      </c>
      <c r="U16" s="31">
        <v>-200</v>
      </c>
      <c r="V16" s="31">
        <v>-100</v>
      </c>
      <c r="W16" s="32">
        <v>-132</v>
      </c>
      <c r="X16" s="30">
        <v>-2</v>
      </c>
      <c r="Y16" s="31">
        <v>-29</v>
      </c>
      <c r="Z16" s="31">
        <v>10</v>
      </c>
      <c r="AA16" s="31">
        <v>-6</v>
      </c>
      <c r="AB16" s="31">
        <v>-23</v>
      </c>
      <c r="AC16" s="31">
        <v>-22</v>
      </c>
      <c r="AD16" s="31">
        <v>-62</v>
      </c>
      <c r="AE16" s="31">
        <v>-8</v>
      </c>
      <c r="AF16" s="31">
        <v>-73</v>
      </c>
      <c r="AG16" s="32">
        <v>-5</v>
      </c>
      <c r="AH16" s="30">
        <v>11</v>
      </c>
      <c r="AI16" s="31">
        <v>13</v>
      </c>
      <c r="AJ16" s="31">
        <v>-4</v>
      </c>
      <c r="AK16" s="31">
        <v>42</v>
      </c>
      <c r="AL16" s="31">
        <v>12</v>
      </c>
      <c r="AM16" s="31">
        <v>22</v>
      </c>
      <c r="AN16" s="31">
        <v>10</v>
      </c>
      <c r="AO16" s="31">
        <v>6</v>
      </c>
      <c r="AP16" s="31">
        <v>12</v>
      </c>
      <c r="AQ16" s="32">
        <v>25</v>
      </c>
      <c r="AR16" s="87">
        <v>-15</v>
      </c>
      <c r="AS16" s="88">
        <v>-17</v>
      </c>
      <c r="AT16" s="88">
        <v>-17</v>
      </c>
      <c r="AU16" s="88">
        <v>-23</v>
      </c>
      <c r="AV16" s="88">
        <v>-10</v>
      </c>
      <c r="AW16" s="88">
        <v>-9</v>
      </c>
      <c r="AX16" s="88">
        <v>-19</v>
      </c>
      <c r="AY16" s="88">
        <v>-9</v>
      </c>
      <c r="AZ16" s="88">
        <v>-6</v>
      </c>
      <c r="BA16" s="89">
        <v>-6</v>
      </c>
      <c r="BB16" s="30">
        <v>0</v>
      </c>
      <c r="BC16" s="31">
        <v>-6</v>
      </c>
      <c r="BD16" s="31">
        <v>0</v>
      </c>
      <c r="BE16" s="67">
        <v>-8</v>
      </c>
      <c r="BF16" s="88">
        <v>28</v>
      </c>
      <c r="BG16" s="88">
        <v>-14</v>
      </c>
      <c r="BH16" s="88">
        <v>-3</v>
      </c>
      <c r="BI16" s="88">
        <v>6</v>
      </c>
      <c r="BJ16" s="88">
        <v>9</v>
      </c>
      <c r="BK16" s="123">
        <v>8</v>
      </c>
      <c r="BL16" s="126">
        <v>14</v>
      </c>
      <c r="BM16" s="5">
        <v>0</v>
      </c>
      <c r="BN16" s="5">
        <v>0</v>
      </c>
      <c r="BO16" s="5">
        <v>25</v>
      </c>
      <c r="BP16" s="5">
        <v>-25</v>
      </c>
      <c r="BQ16" s="123">
        <f>Population!BQ16-Population!BP16</f>
        <v>0</v>
      </c>
    </row>
    <row r="17" spans="1:69" x14ac:dyDescent="0.2">
      <c r="A17" s="20" t="s">
        <v>25</v>
      </c>
      <c r="B17" s="21" t="s">
        <v>26</v>
      </c>
      <c r="C17" s="25" t="s">
        <v>2</v>
      </c>
      <c r="D17" s="30">
        <v>-377</v>
      </c>
      <c r="E17" s="31">
        <v>600</v>
      </c>
      <c r="F17" s="31">
        <v>-2100</v>
      </c>
      <c r="G17" s="31">
        <v>-700</v>
      </c>
      <c r="H17" s="31">
        <v>600</v>
      </c>
      <c r="I17" s="31">
        <v>1600</v>
      </c>
      <c r="J17" s="31">
        <v>-2800</v>
      </c>
      <c r="K17" s="31">
        <v>-400</v>
      </c>
      <c r="L17" s="31">
        <v>-2900</v>
      </c>
      <c r="M17" s="32">
        <v>1881</v>
      </c>
      <c r="N17" s="30">
        <v>719</v>
      </c>
      <c r="O17" s="31">
        <v>0</v>
      </c>
      <c r="P17" s="31">
        <v>-400</v>
      </c>
      <c r="Q17" s="31">
        <v>0</v>
      </c>
      <c r="R17" s="31">
        <v>1000</v>
      </c>
      <c r="S17" s="31">
        <v>1900</v>
      </c>
      <c r="T17" s="31">
        <v>1000</v>
      </c>
      <c r="U17" s="31">
        <v>400</v>
      </c>
      <c r="V17" s="31">
        <v>900</v>
      </c>
      <c r="W17" s="32">
        <v>1122</v>
      </c>
      <c r="X17" s="30">
        <v>2</v>
      </c>
      <c r="Y17" s="31">
        <v>230</v>
      </c>
      <c r="Z17" s="31">
        <v>1067</v>
      </c>
      <c r="AA17" s="31">
        <v>738</v>
      </c>
      <c r="AB17" s="31">
        <v>246</v>
      </c>
      <c r="AC17" s="31">
        <v>798</v>
      </c>
      <c r="AD17" s="31">
        <v>302</v>
      </c>
      <c r="AE17" s="31">
        <v>438</v>
      </c>
      <c r="AF17" s="31">
        <v>301</v>
      </c>
      <c r="AG17" s="32">
        <v>2154</v>
      </c>
      <c r="AH17" s="30">
        <v>1210</v>
      </c>
      <c r="AI17" s="31">
        <v>1588</v>
      </c>
      <c r="AJ17" s="31">
        <v>1848</v>
      </c>
      <c r="AK17" s="31">
        <v>2194</v>
      </c>
      <c r="AL17" s="31">
        <v>2461</v>
      </c>
      <c r="AM17" s="31">
        <v>2385</v>
      </c>
      <c r="AN17" s="31">
        <v>1875</v>
      </c>
      <c r="AO17" s="31">
        <v>2219</v>
      </c>
      <c r="AP17" s="31">
        <v>2140</v>
      </c>
      <c r="AQ17" s="32">
        <v>1980</v>
      </c>
      <c r="AR17" s="87">
        <v>1201</v>
      </c>
      <c r="AS17" s="88">
        <v>1043</v>
      </c>
      <c r="AT17" s="88">
        <v>551</v>
      </c>
      <c r="AU17" s="88">
        <v>1486</v>
      </c>
      <c r="AV17" s="88">
        <v>1142</v>
      </c>
      <c r="AW17" s="88">
        <v>1671</v>
      </c>
      <c r="AX17" s="88">
        <v>1937</v>
      </c>
      <c r="AY17" s="88">
        <v>2254</v>
      </c>
      <c r="AZ17" s="88">
        <v>1738</v>
      </c>
      <c r="BA17" s="89">
        <v>1399</v>
      </c>
      <c r="BB17" s="30">
        <v>648</v>
      </c>
      <c r="BC17" s="31">
        <v>636</v>
      </c>
      <c r="BD17" s="31">
        <v>762</v>
      </c>
      <c r="BE17" s="67">
        <v>696</v>
      </c>
      <c r="BF17" s="88">
        <v>860</v>
      </c>
      <c r="BG17" s="88">
        <v>712</v>
      </c>
      <c r="BH17" s="88">
        <v>855</v>
      </c>
      <c r="BI17" s="88">
        <v>1925</v>
      </c>
      <c r="BJ17" s="88">
        <v>1520</v>
      </c>
      <c r="BK17" s="123">
        <v>1389</v>
      </c>
      <c r="BL17" s="126">
        <v>1677</v>
      </c>
      <c r="BM17" s="5">
        <v>1000</v>
      </c>
      <c r="BN17" s="5">
        <v>1500</v>
      </c>
      <c r="BO17" s="5">
        <v>2000</v>
      </c>
      <c r="BP17" s="5">
        <v>950</v>
      </c>
      <c r="BQ17" s="123">
        <f>Population!BQ17-Population!BP17</f>
        <v>1250</v>
      </c>
    </row>
    <row r="18" spans="1:69" x14ac:dyDescent="0.2">
      <c r="A18" s="20" t="s">
        <v>27</v>
      </c>
      <c r="B18" s="21" t="s">
        <v>28</v>
      </c>
      <c r="C18" s="25" t="s">
        <v>2</v>
      </c>
      <c r="D18" s="30">
        <v>535</v>
      </c>
      <c r="E18" s="31">
        <v>400</v>
      </c>
      <c r="F18" s="31">
        <v>200</v>
      </c>
      <c r="G18" s="31">
        <v>300</v>
      </c>
      <c r="H18" s="31">
        <v>500</v>
      </c>
      <c r="I18" s="31">
        <v>800</v>
      </c>
      <c r="J18" s="31">
        <v>1600</v>
      </c>
      <c r="K18" s="31">
        <v>500</v>
      </c>
      <c r="L18" s="31">
        <v>-100</v>
      </c>
      <c r="M18" s="32">
        <v>353</v>
      </c>
      <c r="N18" s="30">
        <v>447</v>
      </c>
      <c r="O18" s="31">
        <v>-600</v>
      </c>
      <c r="P18" s="31">
        <v>-500</v>
      </c>
      <c r="Q18" s="31">
        <v>1000</v>
      </c>
      <c r="R18" s="31">
        <v>500</v>
      </c>
      <c r="S18" s="31">
        <v>-200</v>
      </c>
      <c r="T18" s="31">
        <v>1200</v>
      </c>
      <c r="U18" s="31">
        <v>1700</v>
      </c>
      <c r="V18" s="31">
        <v>1300</v>
      </c>
      <c r="W18" s="32">
        <v>1914</v>
      </c>
      <c r="X18" s="30">
        <v>-41</v>
      </c>
      <c r="Y18" s="31">
        <v>-908</v>
      </c>
      <c r="Z18" s="31">
        <v>-129</v>
      </c>
      <c r="AA18" s="31">
        <v>-481</v>
      </c>
      <c r="AB18" s="31">
        <v>-885</v>
      </c>
      <c r="AC18" s="31">
        <v>-1154</v>
      </c>
      <c r="AD18" s="31">
        <v>85</v>
      </c>
      <c r="AE18" s="31">
        <v>504</v>
      </c>
      <c r="AF18" s="31">
        <v>617</v>
      </c>
      <c r="AG18" s="32">
        <v>253</v>
      </c>
      <c r="AH18" s="30">
        <v>134</v>
      </c>
      <c r="AI18" s="31">
        <v>327</v>
      </c>
      <c r="AJ18" s="31">
        <v>294</v>
      </c>
      <c r="AK18" s="31">
        <v>511</v>
      </c>
      <c r="AL18" s="31">
        <v>379</v>
      </c>
      <c r="AM18" s="31">
        <v>352</v>
      </c>
      <c r="AN18" s="31">
        <v>381</v>
      </c>
      <c r="AO18" s="31">
        <v>15</v>
      </c>
      <c r="AP18" s="31">
        <v>198</v>
      </c>
      <c r="AQ18" s="32">
        <v>428</v>
      </c>
      <c r="AR18" s="87">
        <v>1515</v>
      </c>
      <c r="AS18" s="88">
        <v>520</v>
      </c>
      <c r="AT18" s="88">
        <v>216</v>
      </c>
      <c r="AU18" s="88">
        <v>624</v>
      </c>
      <c r="AV18" s="88">
        <v>743</v>
      </c>
      <c r="AW18" s="88">
        <v>770</v>
      </c>
      <c r="AX18" s="88">
        <v>456</v>
      </c>
      <c r="AY18" s="88">
        <v>257</v>
      </c>
      <c r="AZ18" s="88">
        <v>274</v>
      </c>
      <c r="BA18" s="89">
        <v>228</v>
      </c>
      <c r="BB18" s="30">
        <v>88</v>
      </c>
      <c r="BC18" s="31">
        <v>257</v>
      </c>
      <c r="BD18" s="31">
        <v>130</v>
      </c>
      <c r="BE18" s="67">
        <v>227</v>
      </c>
      <c r="BF18" s="88">
        <v>-25</v>
      </c>
      <c r="BG18" s="88">
        <v>188</v>
      </c>
      <c r="BH18" s="88">
        <v>248</v>
      </c>
      <c r="BI18" s="88">
        <v>497</v>
      </c>
      <c r="BJ18" s="88">
        <v>738</v>
      </c>
      <c r="BK18" s="123">
        <v>491</v>
      </c>
      <c r="BL18" s="126">
        <v>414</v>
      </c>
      <c r="BM18" s="5">
        <v>350</v>
      </c>
      <c r="BN18" s="5">
        <v>600</v>
      </c>
      <c r="BO18" s="5">
        <v>400</v>
      </c>
      <c r="BP18" s="5">
        <v>350</v>
      </c>
      <c r="BQ18" s="123">
        <f>Population!BQ18-Population!BP18</f>
        <v>400</v>
      </c>
    </row>
    <row r="19" spans="1:69" x14ac:dyDescent="0.2">
      <c r="A19" s="20" t="s">
        <v>29</v>
      </c>
      <c r="B19" s="21" t="s">
        <v>30</v>
      </c>
      <c r="C19" s="25" t="s">
        <v>2</v>
      </c>
      <c r="D19" s="30">
        <v>662</v>
      </c>
      <c r="E19" s="31">
        <v>600</v>
      </c>
      <c r="F19" s="31">
        <v>200</v>
      </c>
      <c r="G19" s="31">
        <v>600</v>
      </c>
      <c r="H19" s="31">
        <v>700</v>
      </c>
      <c r="I19" s="31">
        <v>700</v>
      </c>
      <c r="J19" s="31">
        <v>1100</v>
      </c>
      <c r="K19" s="31">
        <v>800</v>
      </c>
      <c r="L19" s="31">
        <v>700</v>
      </c>
      <c r="M19" s="32">
        <v>1311</v>
      </c>
      <c r="N19" s="30">
        <v>389</v>
      </c>
      <c r="O19" s="31">
        <v>2100</v>
      </c>
      <c r="P19" s="31">
        <v>2100</v>
      </c>
      <c r="Q19" s="31">
        <v>1600</v>
      </c>
      <c r="R19" s="31">
        <v>1500</v>
      </c>
      <c r="S19" s="31">
        <v>1600</v>
      </c>
      <c r="T19" s="31">
        <v>1228</v>
      </c>
      <c r="U19" s="31">
        <v>3672</v>
      </c>
      <c r="V19" s="31">
        <v>1000</v>
      </c>
      <c r="W19" s="32">
        <v>1848</v>
      </c>
      <c r="X19" s="30">
        <v>1395</v>
      </c>
      <c r="Y19" s="31">
        <v>1116</v>
      </c>
      <c r="Z19" s="31">
        <v>992</v>
      </c>
      <c r="AA19" s="31">
        <v>674</v>
      </c>
      <c r="AB19" s="31">
        <v>1436</v>
      </c>
      <c r="AC19" s="31">
        <v>1363</v>
      </c>
      <c r="AD19" s="31">
        <v>1412</v>
      </c>
      <c r="AE19" s="31">
        <v>1934</v>
      </c>
      <c r="AF19" s="31">
        <v>2153</v>
      </c>
      <c r="AG19" s="32">
        <v>3672</v>
      </c>
      <c r="AH19" s="30">
        <v>1981</v>
      </c>
      <c r="AI19" s="31">
        <v>1113</v>
      </c>
      <c r="AJ19" s="31">
        <v>1014</v>
      </c>
      <c r="AK19" s="31">
        <v>836</v>
      </c>
      <c r="AL19" s="31">
        <v>1239</v>
      </c>
      <c r="AM19" s="31">
        <v>930</v>
      </c>
      <c r="AN19" s="31">
        <v>1228</v>
      </c>
      <c r="AO19" s="31">
        <v>1073</v>
      </c>
      <c r="AP19" s="31">
        <v>1020</v>
      </c>
      <c r="AQ19" s="32">
        <v>929</v>
      </c>
      <c r="AR19" s="87">
        <v>504</v>
      </c>
      <c r="AS19" s="88">
        <v>1089</v>
      </c>
      <c r="AT19" s="88">
        <v>479</v>
      </c>
      <c r="AU19" s="88">
        <v>919</v>
      </c>
      <c r="AV19" s="88">
        <v>1402</v>
      </c>
      <c r="AW19" s="88">
        <v>1238</v>
      </c>
      <c r="AX19" s="88">
        <v>1036</v>
      </c>
      <c r="AY19" s="88">
        <v>319</v>
      </c>
      <c r="AZ19" s="88">
        <v>193</v>
      </c>
      <c r="BA19" s="89">
        <v>-231</v>
      </c>
      <c r="BB19" s="30">
        <v>703</v>
      </c>
      <c r="BC19" s="31">
        <v>717</v>
      </c>
      <c r="BD19" s="31">
        <v>215</v>
      </c>
      <c r="BE19" s="67">
        <v>669</v>
      </c>
      <c r="BF19" s="88">
        <v>874</v>
      </c>
      <c r="BG19" s="88">
        <v>1075</v>
      </c>
      <c r="BH19" s="88">
        <v>1366</v>
      </c>
      <c r="BI19" s="88">
        <v>947</v>
      </c>
      <c r="BJ19" s="88">
        <v>775</v>
      </c>
      <c r="BK19" s="123">
        <v>1010</v>
      </c>
      <c r="BL19" s="126">
        <v>243</v>
      </c>
      <c r="BM19" s="5">
        <v>600</v>
      </c>
      <c r="BN19" s="5">
        <v>450</v>
      </c>
      <c r="BO19" s="5">
        <v>500</v>
      </c>
      <c r="BP19" s="5">
        <v>50</v>
      </c>
      <c r="BQ19" s="123">
        <f>Population!BQ19-Population!BP19</f>
        <v>300</v>
      </c>
    </row>
    <row r="20" spans="1:69" x14ac:dyDescent="0.2">
      <c r="A20" s="20" t="s">
        <v>31</v>
      </c>
      <c r="B20" s="21" t="s">
        <v>32</v>
      </c>
      <c r="C20" s="25" t="s">
        <v>2</v>
      </c>
      <c r="D20" s="30">
        <v>161</v>
      </c>
      <c r="E20" s="31">
        <v>-100</v>
      </c>
      <c r="F20" s="31">
        <v>100</v>
      </c>
      <c r="G20" s="31">
        <v>100</v>
      </c>
      <c r="H20" s="31">
        <v>-100</v>
      </c>
      <c r="I20" s="31">
        <v>200</v>
      </c>
      <c r="J20" s="31">
        <v>300</v>
      </c>
      <c r="K20" s="31">
        <v>400</v>
      </c>
      <c r="L20" s="31">
        <v>-500</v>
      </c>
      <c r="M20" s="32">
        <v>461</v>
      </c>
      <c r="N20" s="30">
        <v>-61</v>
      </c>
      <c r="O20" s="31">
        <v>0</v>
      </c>
      <c r="P20" s="31">
        <v>100</v>
      </c>
      <c r="Q20" s="31">
        <v>600</v>
      </c>
      <c r="R20" s="31">
        <v>500</v>
      </c>
      <c r="S20" s="31">
        <v>500</v>
      </c>
      <c r="T20" s="31">
        <v>500</v>
      </c>
      <c r="U20" s="31">
        <v>1100</v>
      </c>
      <c r="V20" s="31">
        <v>900</v>
      </c>
      <c r="W20" s="32">
        <v>1165</v>
      </c>
      <c r="X20" s="30">
        <v>771</v>
      </c>
      <c r="Y20" s="31">
        <v>281</v>
      </c>
      <c r="Z20" s="31">
        <v>-92</v>
      </c>
      <c r="AA20" s="31">
        <v>555</v>
      </c>
      <c r="AB20" s="31">
        <v>393</v>
      </c>
      <c r="AC20" s="31">
        <v>444</v>
      </c>
      <c r="AD20" s="31">
        <v>216</v>
      </c>
      <c r="AE20" s="31">
        <v>598</v>
      </c>
      <c r="AF20" s="31">
        <v>542</v>
      </c>
      <c r="AG20" s="32">
        <v>733</v>
      </c>
      <c r="AH20" s="30">
        <v>738</v>
      </c>
      <c r="AI20" s="31">
        <v>796</v>
      </c>
      <c r="AJ20" s="31">
        <v>701</v>
      </c>
      <c r="AK20" s="31">
        <v>672</v>
      </c>
      <c r="AL20" s="31">
        <v>637</v>
      </c>
      <c r="AM20" s="31">
        <v>462</v>
      </c>
      <c r="AN20" s="31">
        <v>513</v>
      </c>
      <c r="AO20" s="31">
        <v>397</v>
      </c>
      <c r="AP20" s="31">
        <v>543</v>
      </c>
      <c r="AQ20" s="32">
        <v>434</v>
      </c>
      <c r="AR20" s="87">
        <v>366</v>
      </c>
      <c r="AS20" s="88">
        <v>478</v>
      </c>
      <c r="AT20" s="88">
        <v>200</v>
      </c>
      <c r="AU20" s="88">
        <v>395</v>
      </c>
      <c r="AV20" s="88">
        <v>618</v>
      </c>
      <c r="AW20" s="88">
        <v>491</v>
      </c>
      <c r="AX20" s="88">
        <v>397</v>
      </c>
      <c r="AY20" s="88">
        <v>390</v>
      </c>
      <c r="AZ20" s="88">
        <v>139</v>
      </c>
      <c r="BA20" s="89">
        <v>99</v>
      </c>
      <c r="BB20" s="30">
        <v>312</v>
      </c>
      <c r="BC20" s="31">
        <v>240</v>
      </c>
      <c r="BD20" s="31">
        <v>168</v>
      </c>
      <c r="BE20" s="67">
        <v>391</v>
      </c>
      <c r="BF20" s="88">
        <v>283</v>
      </c>
      <c r="BG20" s="88">
        <v>439</v>
      </c>
      <c r="BH20" s="88">
        <v>295</v>
      </c>
      <c r="BI20" s="88">
        <v>315</v>
      </c>
      <c r="BJ20" s="88">
        <v>368</v>
      </c>
      <c r="BK20" s="123">
        <v>294</v>
      </c>
      <c r="BL20" s="126">
        <v>123</v>
      </c>
      <c r="BM20" s="5">
        <v>250</v>
      </c>
      <c r="BN20" s="5">
        <v>75</v>
      </c>
      <c r="BO20" s="5">
        <v>275</v>
      </c>
      <c r="BP20" s="5">
        <v>125</v>
      </c>
      <c r="BQ20" s="123">
        <f>Population!BQ20-Population!BP20</f>
        <v>275</v>
      </c>
    </row>
    <row r="21" spans="1:69" x14ac:dyDescent="0.2">
      <c r="A21" s="20" t="s">
        <v>33</v>
      </c>
      <c r="B21" s="21" t="s">
        <v>34</v>
      </c>
      <c r="C21" s="25" t="s">
        <v>2</v>
      </c>
      <c r="D21" s="30">
        <v>17286</v>
      </c>
      <c r="E21" s="31">
        <v>19300</v>
      </c>
      <c r="F21" s="31">
        <v>12800</v>
      </c>
      <c r="G21" s="31">
        <v>15800</v>
      </c>
      <c r="H21" s="31">
        <v>23800</v>
      </c>
      <c r="I21" s="31">
        <v>23500</v>
      </c>
      <c r="J21" s="31">
        <v>51000</v>
      </c>
      <c r="K21" s="31">
        <v>51500</v>
      </c>
      <c r="L21" s="31">
        <v>11000</v>
      </c>
      <c r="M21" s="32">
        <v>-1625</v>
      </c>
      <c r="N21" s="30">
        <v>-7875</v>
      </c>
      <c r="O21" s="31">
        <v>-5600</v>
      </c>
      <c r="P21" s="31">
        <v>-500</v>
      </c>
      <c r="Q21" s="31">
        <v>5800</v>
      </c>
      <c r="R21" s="31">
        <v>4100</v>
      </c>
      <c r="S21" s="31">
        <v>600</v>
      </c>
      <c r="T21" s="31">
        <v>11600</v>
      </c>
      <c r="U21" s="31">
        <v>23600</v>
      </c>
      <c r="V21" s="31">
        <v>37200</v>
      </c>
      <c r="W21" s="32">
        <v>41598</v>
      </c>
      <c r="X21" s="30">
        <v>32001</v>
      </c>
      <c r="Y21" s="31">
        <v>16775</v>
      </c>
      <c r="Z21" s="31">
        <v>-1197</v>
      </c>
      <c r="AA21" s="31">
        <v>16396</v>
      </c>
      <c r="AB21" s="31">
        <v>22679</v>
      </c>
      <c r="AC21" s="31">
        <v>19521</v>
      </c>
      <c r="AD21" s="31">
        <v>24121</v>
      </c>
      <c r="AE21" s="31">
        <v>28411</v>
      </c>
      <c r="AF21" s="31">
        <v>34696</v>
      </c>
      <c r="AG21" s="32">
        <v>44004</v>
      </c>
      <c r="AH21" s="30">
        <v>42686</v>
      </c>
      <c r="AI21" s="31">
        <v>21006</v>
      </c>
      <c r="AJ21" s="31">
        <v>19606</v>
      </c>
      <c r="AK21" s="31">
        <v>18926</v>
      </c>
      <c r="AL21" s="31">
        <v>15712</v>
      </c>
      <c r="AM21" s="31">
        <v>15008</v>
      </c>
      <c r="AN21" s="31">
        <v>18857</v>
      </c>
      <c r="AO21" s="31">
        <v>27160</v>
      </c>
      <c r="AP21" s="31">
        <v>25856</v>
      </c>
      <c r="AQ21" s="32">
        <v>24924</v>
      </c>
      <c r="AR21" s="87">
        <v>18441</v>
      </c>
      <c r="AS21" s="88">
        <v>22027</v>
      </c>
      <c r="AT21" s="88">
        <v>10568</v>
      </c>
      <c r="AU21" s="88">
        <v>12701</v>
      </c>
      <c r="AV21" s="88">
        <v>14216</v>
      </c>
      <c r="AW21" s="88">
        <v>30210</v>
      </c>
      <c r="AX21" s="88">
        <v>25889</v>
      </c>
      <c r="AY21" s="88">
        <v>20027</v>
      </c>
      <c r="AZ21" s="88">
        <v>18080</v>
      </c>
      <c r="BA21" s="89">
        <v>22044</v>
      </c>
      <c r="BB21" s="30">
        <v>14437</v>
      </c>
      <c r="BC21" s="31">
        <v>11069</v>
      </c>
      <c r="BD21" s="31">
        <v>26795</v>
      </c>
      <c r="BE21" s="67">
        <v>37477</v>
      </c>
      <c r="BF21" s="88">
        <v>40954</v>
      </c>
      <c r="BG21" s="88">
        <v>56977</v>
      </c>
      <c r="BH21" s="88">
        <v>30952</v>
      </c>
      <c r="BI21" s="88">
        <v>37550</v>
      </c>
      <c r="BJ21" s="88">
        <v>40295</v>
      </c>
      <c r="BK21" s="123">
        <v>41920</v>
      </c>
      <c r="BL21" s="126">
        <v>17375</v>
      </c>
      <c r="BM21" s="5">
        <v>30650</v>
      </c>
      <c r="BN21" s="5">
        <v>30100</v>
      </c>
      <c r="BO21" s="5">
        <v>30300</v>
      </c>
      <c r="BP21" s="5">
        <v>33600</v>
      </c>
      <c r="BQ21" s="123">
        <f>Population!BQ21-Population!BP21</f>
        <v>13000</v>
      </c>
    </row>
    <row r="22" spans="1:69" x14ac:dyDescent="0.2">
      <c r="A22" s="20" t="s">
        <v>36</v>
      </c>
      <c r="B22" s="21" t="s">
        <v>37</v>
      </c>
      <c r="C22" s="25" t="s">
        <v>2</v>
      </c>
      <c r="D22" s="30">
        <v>1324</v>
      </c>
      <c r="E22" s="31">
        <v>1200</v>
      </c>
      <c r="F22" s="31">
        <v>700</v>
      </c>
      <c r="G22" s="31">
        <v>700</v>
      </c>
      <c r="H22" s="31">
        <v>1700</v>
      </c>
      <c r="I22" s="31">
        <v>1800</v>
      </c>
      <c r="J22" s="31">
        <v>1700</v>
      </c>
      <c r="K22" s="31">
        <v>2900</v>
      </c>
      <c r="L22" s="31">
        <v>6800</v>
      </c>
      <c r="M22" s="32">
        <v>-1268</v>
      </c>
      <c r="N22" s="30">
        <v>-1632</v>
      </c>
      <c r="O22" s="31">
        <v>-500</v>
      </c>
      <c r="P22" s="31">
        <v>1400</v>
      </c>
      <c r="Q22" s="31">
        <v>4900</v>
      </c>
      <c r="R22" s="31">
        <v>10190</v>
      </c>
      <c r="S22" s="31">
        <v>5510</v>
      </c>
      <c r="T22" s="31">
        <v>6700</v>
      </c>
      <c r="U22" s="31">
        <v>3400</v>
      </c>
      <c r="V22" s="31">
        <v>6100</v>
      </c>
      <c r="W22" s="32">
        <v>9352</v>
      </c>
      <c r="X22" s="30">
        <v>8508</v>
      </c>
      <c r="Y22" s="31">
        <v>1070</v>
      </c>
      <c r="Z22" s="31">
        <v>4291</v>
      </c>
      <c r="AA22" s="31">
        <v>2474</v>
      </c>
      <c r="AB22" s="31">
        <v>5214</v>
      </c>
      <c r="AC22" s="31">
        <v>-1280</v>
      </c>
      <c r="AD22" s="31">
        <v>4579</v>
      </c>
      <c r="AE22" s="31">
        <v>7357</v>
      </c>
      <c r="AF22" s="31">
        <v>3785</v>
      </c>
      <c r="AG22" s="32">
        <v>6581</v>
      </c>
      <c r="AH22" s="30">
        <v>7195</v>
      </c>
      <c r="AI22" s="31">
        <v>5187</v>
      </c>
      <c r="AJ22" s="31">
        <v>5863</v>
      </c>
      <c r="AK22" s="31">
        <v>4453</v>
      </c>
      <c r="AL22" s="31">
        <v>5879</v>
      </c>
      <c r="AM22" s="31">
        <v>3541</v>
      </c>
      <c r="AN22" s="31">
        <v>3402</v>
      </c>
      <c r="AO22" s="31">
        <v>1928</v>
      </c>
      <c r="AP22" s="31">
        <v>2390</v>
      </c>
      <c r="AQ22" s="32">
        <v>2400</v>
      </c>
      <c r="AR22" s="87">
        <v>1949</v>
      </c>
      <c r="AS22" s="88">
        <v>2738</v>
      </c>
      <c r="AT22" s="88">
        <v>2787</v>
      </c>
      <c r="AU22" s="88">
        <v>1334</v>
      </c>
      <c r="AV22" s="88">
        <v>-958</v>
      </c>
      <c r="AW22" s="88">
        <v>4230</v>
      </c>
      <c r="AX22" s="88">
        <v>3427</v>
      </c>
      <c r="AY22" s="88">
        <v>2429</v>
      </c>
      <c r="AZ22" s="88">
        <v>1344</v>
      </c>
      <c r="BA22" s="89">
        <v>-116</v>
      </c>
      <c r="BB22" s="30">
        <v>-711</v>
      </c>
      <c r="BC22" s="31">
        <v>2485</v>
      </c>
      <c r="BD22" s="31">
        <v>310</v>
      </c>
      <c r="BE22" s="67">
        <v>2754</v>
      </c>
      <c r="BF22" s="88">
        <v>3063</v>
      </c>
      <c r="BG22" s="88">
        <v>4437</v>
      </c>
      <c r="BH22" s="88">
        <v>1797</v>
      </c>
      <c r="BI22" s="88">
        <v>4012</v>
      </c>
      <c r="BJ22" s="88">
        <v>3062</v>
      </c>
      <c r="BK22" s="123">
        <v>3269</v>
      </c>
      <c r="BL22" s="126">
        <v>2089</v>
      </c>
      <c r="BM22" s="5">
        <v>3200</v>
      </c>
      <c r="BN22" s="5">
        <v>2300</v>
      </c>
      <c r="BO22" s="5">
        <v>2900</v>
      </c>
      <c r="BP22" s="5">
        <v>2800</v>
      </c>
      <c r="BQ22" s="123">
        <f>Population!BQ22-Population!BP22</f>
        <v>2900</v>
      </c>
    </row>
    <row r="23" spans="1:69" x14ac:dyDescent="0.2">
      <c r="A23" s="20" t="s">
        <v>38</v>
      </c>
      <c r="B23" s="21" t="s">
        <v>39</v>
      </c>
      <c r="C23" s="25" t="s">
        <v>2</v>
      </c>
      <c r="D23" s="30">
        <v>433</v>
      </c>
      <c r="E23" s="31">
        <v>300</v>
      </c>
      <c r="F23" s="31">
        <v>500</v>
      </c>
      <c r="G23" s="31">
        <v>300</v>
      </c>
      <c r="H23" s="31">
        <v>400</v>
      </c>
      <c r="I23" s="31">
        <v>400</v>
      </c>
      <c r="J23" s="31">
        <v>800</v>
      </c>
      <c r="K23" s="31">
        <v>1000</v>
      </c>
      <c r="L23" s="31">
        <v>100</v>
      </c>
      <c r="M23" s="32">
        <v>339</v>
      </c>
      <c r="N23" s="30">
        <v>461</v>
      </c>
      <c r="O23" s="31">
        <v>-200</v>
      </c>
      <c r="P23" s="31">
        <v>-700</v>
      </c>
      <c r="Q23" s="31">
        <v>-100</v>
      </c>
      <c r="R23" s="31">
        <v>200</v>
      </c>
      <c r="S23" s="31">
        <v>400</v>
      </c>
      <c r="T23" s="31">
        <v>-100</v>
      </c>
      <c r="U23" s="31">
        <v>-200</v>
      </c>
      <c r="V23" s="31">
        <v>-200</v>
      </c>
      <c r="W23" s="32">
        <v>277</v>
      </c>
      <c r="X23" s="30">
        <v>234</v>
      </c>
      <c r="Y23" s="31">
        <v>8</v>
      </c>
      <c r="Z23" s="31">
        <v>217</v>
      </c>
      <c r="AA23" s="31">
        <v>9</v>
      </c>
      <c r="AB23" s="31">
        <v>62</v>
      </c>
      <c r="AC23" s="31">
        <v>-135</v>
      </c>
      <c r="AD23" s="31">
        <v>136</v>
      </c>
      <c r="AE23" s="31">
        <v>434</v>
      </c>
      <c r="AF23" s="31">
        <v>187</v>
      </c>
      <c r="AG23" s="32">
        <v>696</v>
      </c>
      <c r="AH23" s="30">
        <v>478</v>
      </c>
      <c r="AI23" s="31">
        <v>481</v>
      </c>
      <c r="AJ23" s="31">
        <v>611</v>
      </c>
      <c r="AK23" s="31">
        <v>643</v>
      </c>
      <c r="AL23" s="31">
        <v>853</v>
      </c>
      <c r="AM23" s="31">
        <v>581</v>
      </c>
      <c r="AN23" s="31">
        <v>617</v>
      </c>
      <c r="AO23" s="31">
        <v>856</v>
      </c>
      <c r="AP23" s="31">
        <v>1071</v>
      </c>
      <c r="AQ23" s="32">
        <v>446</v>
      </c>
      <c r="AR23" s="87">
        <v>574</v>
      </c>
      <c r="AS23" s="88">
        <v>571</v>
      </c>
      <c r="AT23" s="88">
        <v>967</v>
      </c>
      <c r="AU23" s="88">
        <v>1299</v>
      </c>
      <c r="AV23" s="88">
        <v>887</v>
      </c>
      <c r="AW23" s="88">
        <v>515</v>
      </c>
      <c r="AX23" s="88">
        <v>959</v>
      </c>
      <c r="AY23" s="88">
        <v>1008</v>
      </c>
      <c r="AZ23" s="88">
        <v>568</v>
      </c>
      <c r="BA23" s="89">
        <v>205</v>
      </c>
      <c r="BB23" s="30">
        <v>356</v>
      </c>
      <c r="BC23" s="31">
        <v>139</v>
      </c>
      <c r="BD23" s="31">
        <v>34</v>
      </c>
      <c r="BE23" s="67">
        <v>644</v>
      </c>
      <c r="BF23" s="88">
        <v>293</v>
      </c>
      <c r="BG23" s="88">
        <v>882</v>
      </c>
      <c r="BH23" s="88">
        <v>656</v>
      </c>
      <c r="BI23" s="88">
        <v>476</v>
      </c>
      <c r="BJ23" s="88">
        <v>785</v>
      </c>
      <c r="BK23" s="123">
        <v>1288</v>
      </c>
      <c r="BL23" s="126">
        <v>-1243</v>
      </c>
      <c r="BM23" s="5">
        <v>1975</v>
      </c>
      <c r="BN23" s="5">
        <v>100</v>
      </c>
      <c r="BO23" s="5">
        <v>1300</v>
      </c>
      <c r="BP23" s="5">
        <v>350</v>
      </c>
      <c r="BQ23" s="123">
        <f>Population!BQ23-Population!BP23</f>
        <v>300</v>
      </c>
    </row>
    <row r="24" spans="1:69" x14ac:dyDescent="0.2">
      <c r="A24" s="20" t="s">
        <v>40</v>
      </c>
      <c r="B24" s="21" t="s">
        <v>41</v>
      </c>
      <c r="C24" s="25" t="s">
        <v>2</v>
      </c>
      <c r="D24" s="30">
        <v>-155</v>
      </c>
      <c r="E24" s="31">
        <v>0</v>
      </c>
      <c r="F24" s="31">
        <v>-200</v>
      </c>
      <c r="G24" s="31">
        <v>-200</v>
      </c>
      <c r="H24" s="31">
        <v>0</v>
      </c>
      <c r="I24" s="31">
        <v>-400</v>
      </c>
      <c r="J24" s="31">
        <v>100</v>
      </c>
      <c r="K24" s="31">
        <v>0</v>
      </c>
      <c r="L24" s="31">
        <v>-100</v>
      </c>
      <c r="M24" s="32">
        <v>-362</v>
      </c>
      <c r="N24" s="30">
        <v>462</v>
      </c>
      <c r="O24" s="31">
        <v>0</v>
      </c>
      <c r="P24" s="31">
        <v>100</v>
      </c>
      <c r="Q24" s="31">
        <v>100</v>
      </c>
      <c r="R24" s="31">
        <v>600</v>
      </c>
      <c r="S24" s="31">
        <v>200</v>
      </c>
      <c r="T24" s="31">
        <v>400</v>
      </c>
      <c r="U24" s="31">
        <v>600</v>
      </c>
      <c r="V24" s="31">
        <v>600</v>
      </c>
      <c r="W24" s="32">
        <v>622</v>
      </c>
      <c r="X24" s="30">
        <v>352</v>
      </c>
      <c r="Y24" s="31">
        <v>25</v>
      </c>
      <c r="Z24" s="31">
        <v>60</v>
      </c>
      <c r="AA24" s="31">
        <v>56</v>
      </c>
      <c r="AB24" s="31">
        <v>189</v>
      </c>
      <c r="AC24" s="31">
        <v>-349</v>
      </c>
      <c r="AD24" s="31">
        <v>-122</v>
      </c>
      <c r="AE24" s="31">
        <v>28</v>
      </c>
      <c r="AF24" s="31">
        <v>181</v>
      </c>
      <c r="AG24" s="32">
        <v>374</v>
      </c>
      <c r="AH24" s="30">
        <v>154</v>
      </c>
      <c r="AI24" s="31">
        <v>88</v>
      </c>
      <c r="AJ24" s="31">
        <v>209</v>
      </c>
      <c r="AK24" s="31">
        <v>228</v>
      </c>
      <c r="AL24" s="31">
        <v>308</v>
      </c>
      <c r="AM24" s="31">
        <v>323</v>
      </c>
      <c r="AN24" s="31">
        <v>318</v>
      </c>
      <c r="AO24" s="31">
        <v>329</v>
      </c>
      <c r="AP24" s="31">
        <v>321</v>
      </c>
      <c r="AQ24" s="32">
        <v>267</v>
      </c>
      <c r="AR24" s="87">
        <v>123</v>
      </c>
      <c r="AS24" s="88">
        <v>80</v>
      </c>
      <c r="AT24" s="88">
        <v>99</v>
      </c>
      <c r="AU24" s="88">
        <v>189</v>
      </c>
      <c r="AV24" s="88">
        <v>101</v>
      </c>
      <c r="AW24" s="88">
        <v>226</v>
      </c>
      <c r="AX24" s="88">
        <v>129</v>
      </c>
      <c r="AY24" s="88">
        <v>108</v>
      </c>
      <c r="AZ24" s="88">
        <v>40</v>
      </c>
      <c r="BA24" s="89">
        <v>62</v>
      </c>
      <c r="BB24" s="30">
        <v>212</v>
      </c>
      <c r="BC24" s="31">
        <v>147</v>
      </c>
      <c r="BD24" s="31">
        <v>128</v>
      </c>
      <c r="BE24" s="67">
        <v>226</v>
      </c>
      <c r="BF24" s="88">
        <v>179</v>
      </c>
      <c r="BG24" s="88">
        <v>286</v>
      </c>
      <c r="BH24" s="88">
        <v>308</v>
      </c>
      <c r="BI24" s="88">
        <v>283</v>
      </c>
      <c r="BJ24" s="88">
        <v>356</v>
      </c>
      <c r="BK24" s="123">
        <v>292</v>
      </c>
      <c r="BL24" s="126">
        <v>265</v>
      </c>
      <c r="BM24" s="5">
        <v>150</v>
      </c>
      <c r="BN24" s="5">
        <v>100</v>
      </c>
      <c r="BO24" s="5">
        <v>200</v>
      </c>
      <c r="BP24" s="5">
        <v>150</v>
      </c>
      <c r="BQ24" s="123">
        <f>Population!BQ24-Population!BP24</f>
        <v>100</v>
      </c>
    </row>
    <row r="25" spans="1:69" x14ac:dyDescent="0.2">
      <c r="A25" s="20" t="s">
        <v>42</v>
      </c>
      <c r="B25" s="21" t="s">
        <v>43</v>
      </c>
      <c r="C25" s="25" t="s">
        <v>2</v>
      </c>
      <c r="D25" s="30">
        <v>442</v>
      </c>
      <c r="E25" s="31">
        <v>200</v>
      </c>
      <c r="F25" s="31">
        <v>0</v>
      </c>
      <c r="G25" s="31">
        <v>-100</v>
      </c>
      <c r="H25" s="31">
        <v>500</v>
      </c>
      <c r="I25" s="31">
        <v>500</v>
      </c>
      <c r="J25" s="31">
        <v>800</v>
      </c>
      <c r="K25" s="31">
        <v>1100</v>
      </c>
      <c r="L25" s="31">
        <v>400</v>
      </c>
      <c r="M25" s="32">
        <v>-233</v>
      </c>
      <c r="N25" s="30">
        <v>733</v>
      </c>
      <c r="O25" s="31">
        <v>200</v>
      </c>
      <c r="P25" s="31">
        <v>600</v>
      </c>
      <c r="Q25" s="31">
        <v>500</v>
      </c>
      <c r="R25" s="31">
        <v>1200</v>
      </c>
      <c r="S25" s="31">
        <v>400</v>
      </c>
      <c r="T25" s="31">
        <v>1100</v>
      </c>
      <c r="U25" s="31">
        <v>1300</v>
      </c>
      <c r="V25" s="31">
        <v>2000</v>
      </c>
      <c r="W25" s="32">
        <v>2525</v>
      </c>
      <c r="X25" s="30">
        <v>59</v>
      </c>
      <c r="Y25" s="31">
        <v>30</v>
      </c>
      <c r="Z25" s="31">
        <v>-143</v>
      </c>
      <c r="AA25" s="31">
        <v>803</v>
      </c>
      <c r="AB25" s="31">
        <v>-182</v>
      </c>
      <c r="AC25" s="31">
        <v>141</v>
      </c>
      <c r="AD25" s="31">
        <v>410</v>
      </c>
      <c r="AE25" s="31">
        <v>709</v>
      </c>
      <c r="AF25" s="31">
        <v>647</v>
      </c>
      <c r="AG25" s="32">
        <v>859</v>
      </c>
      <c r="AH25" s="30">
        <v>617</v>
      </c>
      <c r="AI25" s="31">
        <v>687</v>
      </c>
      <c r="AJ25" s="31">
        <v>861</v>
      </c>
      <c r="AK25" s="31">
        <v>933</v>
      </c>
      <c r="AL25" s="31">
        <v>1379</v>
      </c>
      <c r="AM25" s="31">
        <v>1208</v>
      </c>
      <c r="AN25" s="31">
        <v>1139</v>
      </c>
      <c r="AO25" s="31">
        <v>937</v>
      </c>
      <c r="AP25" s="31">
        <v>711</v>
      </c>
      <c r="AQ25" s="32">
        <v>770</v>
      </c>
      <c r="AR25" s="87">
        <v>772</v>
      </c>
      <c r="AS25" s="88">
        <v>726</v>
      </c>
      <c r="AT25" s="88">
        <v>297</v>
      </c>
      <c r="AU25" s="88">
        <v>668</v>
      </c>
      <c r="AV25" s="88">
        <v>708</v>
      </c>
      <c r="AW25" s="88">
        <v>1270</v>
      </c>
      <c r="AX25" s="88">
        <v>985</v>
      </c>
      <c r="AY25" s="88">
        <v>817</v>
      </c>
      <c r="AZ25" s="88">
        <v>462</v>
      </c>
      <c r="BA25" s="89">
        <v>150</v>
      </c>
      <c r="BB25" s="30">
        <v>844</v>
      </c>
      <c r="BC25" s="31">
        <v>466</v>
      </c>
      <c r="BD25" s="31">
        <v>201</v>
      </c>
      <c r="BE25" s="67">
        <v>597</v>
      </c>
      <c r="BF25" s="88">
        <v>443</v>
      </c>
      <c r="BG25" s="88">
        <v>550</v>
      </c>
      <c r="BH25" s="88">
        <v>921</v>
      </c>
      <c r="BI25" s="88">
        <v>773</v>
      </c>
      <c r="BJ25" s="88">
        <v>901</v>
      </c>
      <c r="BK25" s="123">
        <v>998</v>
      </c>
      <c r="BL25" s="126">
        <v>551</v>
      </c>
      <c r="BM25" s="5">
        <v>700</v>
      </c>
      <c r="BN25" s="5">
        <v>675</v>
      </c>
      <c r="BO25" s="5">
        <v>875</v>
      </c>
      <c r="BP25" s="5">
        <v>600</v>
      </c>
      <c r="BQ25" s="123">
        <f>Population!BQ25-Population!BP25</f>
        <v>1000</v>
      </c>
    </row>
    <row r="26" spans="1:69" x14ac:dyDescent="0.2">
      <c r="A26" s="20" t="s">
        <v>44</v>
      </c>
      <c r="B26" s="21" t="s">
        <v>45</v>
      </c>
      <c r="C26" s="25" t="s">
        <v>2</v>
      </c>
      <c r="D26" s="30">
        <v>-219</v>
      </c>
      <c r="E26" s="31">
        <v>-100</v>
      </c>
      <c r="F26" s="31">
        <v>-200</v>
      </c>
      <c r="G26" s="31">
        <v>-200</v>
      </c>
      <c r="H26" s="31">
        <v>-100</v>
      </c>
      <c r="I26" s="31">
        <v>-100</v>
      </c>
      <c r="J26" s="31">
        <v>0</v>
      </c>
      <c r="K26" s="31">
        <v>0</v>
      </c>
      <c r="L26" s="31">
        <v>-300</v>
      </c>
      <c r="M26" s="32">
        <v>-128</v>
      </c>
      <c r="N26" s="30">
        <v>28</v>
      </c>
      <c r="O26" s="31">
        <v>0</v>
      </c>
      <c r="P26" s="31">
        <v>0</v>
      </c>
      <c r="Q26" s="31">
        <v>-100</v>
      </c>
      <c r="R26" s="31">
        <v>0</v>
      </c>
      <c r="S26" s="31">
        <v>100</v>
      </c>
      <c r="T26" s="31">
        <v>0</v>
      </c>
      <c r="U26" s="31">
        <v>0</v>
      </c>
      <c r="V26" s="31">
        <v>0</v>
      </c>
      <c r="W26" s="32">
        <v>4</v>
      </c>
      <c r="X26" s="30">
        <v>-47</v>
      </c>
      <c r="Y26" s="31">
        <v>-74</v>
      </c>
      <c r="Z26" s="31">
        <v>-146</v>
      </c>
      <c r="AA26" s="31">
        <v>-48</v>
      </c>
      <c r="AB26" s="31">
        <v>-56</v>
      </c>
      <c r="AC26" s="31">
        <v>-268</v>
      </c>
      <c r="AD26" s="31">
        <v>-23</v>
      </c>
      <c r="AE26" s="31">
        <v>12</v>
      </c>
      <c r="AF26" s="31">
        <v>-41</v>
      </c>
      <c r="AG26" s="32">
        <v>-49</v>
      </c>
      <c r="AH26" s="30">
        <v>75</v>
      </c>
      <c r="AI26" s="31">
        <v>34</v>
      </c>
      <c r="AJ26" s="31">
        <v>63</v>
      </c>
      <c r="AK26" s="31">
        <v>145</v>
      </c>
      <c r="AL26" s="31">
        <v>149</v>
      </c>
      <c r="AM26" s="31">
        <v>141</v>
      </c>
      <c r="AN26" s="31">
        <v>152</v>
      </c>
      <c r="AO26" s="31">
        <v>215</v>
      </c>
      <c r="AP26" s="31">
        <v>182</v>
      </c>
      <c r="AQ26" s="32">
        <v>164</v>
      </c>
      <c r="AR26" s="87">
        <v>135</v>
      </c>
      <c r="AS26" s="88">
        <v>-42</v>
      </c>
      <c r="AT26" s="88">
        <v>-122</v>
      </c>
      <c r="AU26" s="88">
        <v>150</v>
      </c>
      <c r="AV26" s="88">
        <v>62</v>
      </c>
      <c r="AW26" s="88">
        <v>68</v>
      </c>
      <c r="AX26" s="88">
        <v>101</v>
      </c>
      <c r="AY26" s="88">
        <v>93</v>
      </c>
      <c r="AZ26" s="88">
        <v>-5</v>
      </c>
      <c r="BA26" s="89">
        <v>-54</v>
      </c>
      <c r="BB26" s="30">
        <v>28</v>
      </c>
      <c r="BC26" s="31">
        <v>14</v>
      </c>
      <c r="BD26" s="31">
        <v>-36</v>
      </c>
      <c r="BE26" s="67">
        <v>-7</v>
      </c>
      <c r="BF26" s="88">
        <v>41</v>
      </c>
      <c r="BG26" s="88">
        <v>26</v>
      </c>
      <c r="BH26" s="88">
        <v>58</v>
      </c>
      <c r="BI26" s="88">
        <v>75</v>
      </c>
      <c r="BJ26" s="88">
        <v>81</v>
      </c>
      <c r="BK26" s="123">
        <v>26</v>
      </c>
      <c r="BL26" s="126">
        <v>24</v>
      </c>
      <c r="BM26" s="5">
        <v>150</v>
      </c>
      <c r="BN26" s="5">
        <v>75</v>
      </c>
      <c r="BO26" s="5">
        <v>175</v>
      </c>
      <c r="BP26" s="5">
        <v>-50</v>
      </c>
      <c r="BQ26" s="123">
        <f>Population!BQ26-Population!BP26</f>
        <v>50</v>
      </c>
    </row>
    <row r="27" spans="1:69" x14ac:dyDescent="0.2">
      <c r="A27" s="20" t="s">
        <v>46</v>
      </c>
      <c r="B27" s="21" t="s">
        <v>47</v>
      </c>
      <c r="C27" s="25" t="s">
        <v>2</v>
      </c>
      <c r="D27" s="30">
        <v>249</v>
      </c>
      <c r="E27" s="31">
        <v>600</v>
      </c>
      <c r="F27" s="31">
        <v>100</v>
      </c>
      <c r="G27" s="31">
        <v>200</v>
      </c>
      <c r="H27" s="31">
        <v>400</v>
      </c>
      <c r="I27" s="31">
        <v>600</v>
      </c>
      <c r="J27" s="31">
        <v>700</v>
      </c>
      <c r="K27" s="31">
        <v>500</v>
      </c>
      <c r="L27" s="31">
        <v>600</v>
      </c>
      <c r="M27" s="32">
        <v>718</v>
      </c>
      <c r="N27" s="30">
        <v>82</v>
      </c>
      <c r="O27" s="31">
        <v>-200</v>
      </c>
      <c r="P27" s="31">
        <v>300</v>
      </c>
      <c r="Q27" s="31">
        <v>1000</v>
      </c>
      <c r="R27" s="31">
        <v>1400</v>
      </c>
      <c r="S27" s="31">
        <v>1500</v>
      </c>
      <c r="T27" s="31">
        <v>1000</v>
      </c>
      <c r="U27" s="31">
        <v>1500</v>
      </c>
      <c r="V27" s="31">
        <v>1700</v>
      </c>
      <c r="W27" s="32">
        <v>1984</v>
      </c>
      <c r="X27" s="30">
        <v>930</v>
      </c>
      <c r="Y27" s="31">
        <v>780</v>
      </c>
      <c r="Z27" s="31">
        <v>828</v>
      </c>
      <c r="AA27" s="31">
        <v>1259</v>
      </c>
      <c r="AB27" s="31">
        <v>144</v>
      </c>
      <c r="AC27" s="31">
        <v>584</v>
      </c>
      <c r="AD27" s="31">
        <v>581</v>
      </c>
      <c r="AE27" s="31">
        <v>699</v>
      </c>
      <c r="AF27" s="31">
        <v>741</v>
      </c>
      <c r="AG27" s="32">
        <v>611</v>
      </c>
      <c r="AH27" s="30">
        <v>1132</v>
      </c>
      <c r="AI27" s="31">
        <v>1051</v>
      </c>
      <c r="AJ27" s="31">
        <v>1169</v>
      </c>
      <c r="AK27" s="31">
        <v>1225</v>
      </c>
      <c r="AL27" s="31">
        <v>1210</v>
      </c>
      <c r="AM27" s="31">
        <v>1133</v>
      </c>
      <c r="AN27" s="31">
        <v>1089</v>
      </c>
      <c r="AO27" s="31">
        <v>1071</v>
      </c>
      <c r="AP27" s="31">
        <v>989</v>
      </c>
      <c r="AQ27" s="32">
        <v>995</v>
      </c>
      <c r="AR27" s="87">
        <v>574</v>
      </c>
      <c r="AS27" s="88">
        <v>1002</v>
      </c>
      <c r="AT27" s="88">
        <v>982</v>
      </c>
      <c r="AU27" s="88">
        <v>1270</v>
      </c>
      <c r="AV27" s="88">
        <v>1506</v>
      </c>
      <c r="AW27" s="88">
        <v>1475</v>
      </c>
      <c r="AX27" s="88">
        <v>1852</v>
      </c>
      <c r="AY27" s="88">
        <v>1470</v>
      </c>
      <c r="AZ27" s="88">
        <v>701</v>
      </c>
      <c r="BA27" s="89">
        <v>462</v>
      </c>
      <c r="BB27" s="30">
        <v>536</v>
      </c>
      <c r="BC27" s="31">
        <v>376</v>
      </c>
      <c r="BD27" s="31">
        <v>345</v>
      </c>
      <c r="BE27" s="67">
        <v>410</v>
      </c>
      <c r="BF27" s="88">
        <v>179</v>
      </c>
      <c r="BG27" s="88">
        <v>580</v>
      </c>
      <c r="BH27" s="88">
        <v>764</v>
      </c>
      <c r="BI27" s="88">
        <v>769</v>
      </c>
      <c r="BJ27" s="88">
        <v>424</v>
      </c>
      <c r="BK27" s="123">
        <v>644</v>
      </c>
      <c r="BL27" s="126">
        <v>24</v>
      </c>
      <c r="BM27" s="5">
        <v>450</v>
      </c>
      <c r="BN27" s="5">
        <v>800</v>
      </c>
      <c r="BO27" s="5">
        <v>475</v>
      </c>
      <c r="BP27" s="5">
        <v>325</v>
      </c>
      <c r="BQ27" s="123">
        <f>Population!BQ27-Population!BP27</f>
        <v>150</v>
      </c>
    </row>
    <row r="28" spans="1:69" x14ac:dyDescent="0.2">
      <c r="A28" s="20" t="s">
        <v>48</v>
      </c>
      <c r="B28" s="21" t="s">
        <v>49</v>
      </c>
      <c r="C28" s="25" t="s">
        <v>2</v>
      </c>
      <c r="D28" s="30">
        <v>-20</v>
      </c>
      <c r="E28" s="31">
        <v>-100</v>
      </c>
      <c r="F28" s="31">
        <v>-400</v>
      </c>
      <c r="G28" s="31">
        <v>0</v>
      </c>
      <c r="H28" s="31">
        <v>100</v>
      </c>
      <c r="I28" s="31">
        <v>-100</v>
      </c>
      <c r="J28" s="31">
        <v>200</v>
      </c>
      <c r="K28" s="31">
        <v>400</v>
      </c>
      <c r="L28" s="31">
        <v>-500</v>
      </c>
      <c r="M28" s="32">
        <v>767</v>
      </c>
      <c r="N28" s="30">
        <v>433</v>
      </c>
      <c r="O28" s="31">
        <v>100</v>
      </c>
      <c r="P28" s="31">
        <v>-300</v>
      </c>
      <c r="Q28" s="31">
        <v>200</v>
      </c>
      <c r="R28" s="31">
        <v>500</v>
      </c>
      <c r="S28" s="31">
        <v>800</v>
      </c>
      <c r="T28" s="31">
        <v>700</v>
      </c>
      <c r="U28" s="31">
        <v>800</v>
      </c>
      <c r="V28" s="31">
        <v>900</v>
      </c>
      <c r="W28" s="32">
        <v>663</v>
      </c>
      <c r="X28" s="30">
        <v>530</v>
      </c>
      <c r="Y28" s="31">
        <v>526</v>
      </c>
      <c r="Z28" s="31">
        <v>644</v>
      </c>
      <c r="AA28" s="31">
        <v>286</v>
      </c>
      <c r="AB28" s="31">
        <v>38</v>
      </c>
      <c r="AC28" s="31">
        <v>-135</v>
      </c>
      <c r="AD28" s="31">
        <v>70</v>
      </c>
      <c r="AE28" s="31">
        <v>207</v>
      </c>
      <c r="AF28" s="31">
        <v>220</v>
      </c>
      <c r="AG28" s="32">
        <v>301</v>
      </c>
      <c r="AH28" s="30">
        <v>484</v>
      </c>
      <c r="AI28" s="31">
        <v>554</v>
      </c>
      <c r="AJ28" s="31">
        <v>616</v>
      </c>
      <c r="AK28" s="31">
        <v>705</v>
      </c>
      <c r="AL28" s="31">
        <v>993</v>
      </c>
      <c r="AM28" s="31">
        <v>799</v>
      </c>
      <c r="AN28" s="31">
        <v>735</v>
      </c>
      <c r="AO28" s="31">
        <v>393</v>
      </c>
      <c r="AP28" s="31">
        <v>437</v>
      </c>
      <c r="AQ28" s="32">
        <v>498</v>
      </c>
      <c r="AR28" s="87">
        <v>264</v>
      </c>
      <c r="AS28" s="88">
        <v>164</v>
      </c>
      <c r="AT28" s="88">
        <v>2</v>
      </c>
      <c r="AU28" s="88">
        <v>166</v>
      </c>
      <c r="AV28" s="88">
        <v>107</v>
      </c>
      <c r="AW28" s="88">
        <v>389</v>
      </c>
      <c r="AX28" s="88">
        <v>-228</v>
      </c>
      <c r="AY28" s="88">
        <v>161</v>
      </c>
      <c r="AZ28" s="88">
        <v>379</v>
      </c>
      <c r="BA28" s="89">
        <v>152</v>
      </c>
      <c r="BB28" s="30">
        <v>154</v>
      </c>
      <c r="BC28" s="31">
        <v>50</v>
      </c>
      <c r="BD28" s="31">
        <v>72</v>
      </c>
      <c r="BE28" s="67">
        <v>151</v>
      </c>
      <c r="BF28" s="88">
        <v>78</v>
      </c>
      <c r="BG28" s="88">
        <v>170</v>
      </c>
      <c r="BH28" s="88">
        <v>43</v>
      </c>
      <c r="BI28" s="88">
        <v>90</v>
      </c>
      <c r="BJ28" s="88">
        <v>68</v>
      </c>
      <c r="BK28" s="123">
        <v>108</v>
      </c>
      <c r="BL28" s="126">
        <v>246</v>
      </c>
      <c r="BM28" s="5">
        <v>350</v>
      </c>
      <c r="BN28" s="5">
        <v>300</v>
      </c>
      <c r="BO28" s="5">
        <v>200</v>
      </c>
      <c r="BP28" s="5">
        <v>200</v>
      </c>
      <c r="BQ28" s="123">
        <f>Population!BQ28-Population!BP28</f>
        <v>100</v>
      </c>
    </row>
    <row r="29" spans="1:69" x14ac:dyDescent="0.2">
      <c r="A29" s="20" t="s">
        <v>35</v>
      </c>
      <c r="B29" s="21" t="s">
        <v>50</v>
      </c>
      <c r="C29" s="25" t="s">
        <v>2</v>
      </c>
      <c r="D29" s="30">
        <v>-174</v>
      </c>
      <c r="E29" s="31">
        <v>200</v>
      </c>
      <c r="F29" s="31">
        <v>200</v>
      </c>
      <c r="G29" s="31">
        <v>-200</v>
      </c>
      <c r="H29" s="31">
        <v>0</v>
      </c>
      <c r="I29" s="31">
        <v>300</v>
      </c>
      <c r="J29" s="31">
        <v>-500</v>
      </c>
      <c r="K29" s="31">
        <v>300</v>
      </c>
      <c r="L29" s="31">
        <v>500</v>
      </c>
      <c r="M29" s="32">
        <v>496</v>
      </c>
      <c r="N29" s="30">
        <v>-196</v>
      </c>
      <c r="O29" s="31">
        <v>-200</v>
      </c>
      <c r="P29" s="31">
        <v>100</v>
      </c>
      <c r="Q29" s="31">
        <v>200</v>
      </c>
      <c r="R29" s="31">
        <v>100</v>
      </c>
      <c r="S29" s="31">
        <v>300</v>
      </c>
      <c r="T29" s="31">
        <v>200</v>
      </c>
      <c r="U29" s="31">
        <v>400</v>
      </c>
      <c r="V29" s="31">
        <v>200</v>
      </c>
      <c r="W29" s="32">
        <v>337</v>
      </c>
      <c r="X29" s="30">
        <v>432</v>
      </c>
      <c r="Y29" s="31">
        <v>64</v>
      </c>
      <c r="Z29" s="31">
        <v>145</v>
      </c>
      <c r="AA29" s="31">
        <v>44</v>
      </c>
      <c r="AB29" s="31">
        <v>-158</v>
      </c>
      <c r="AC29" s="31">
        <v>-72</v>
      </c>
      <c r="AD29" s="31">
        <v>41</v>
      </c>
      <c r="AE29" s="31">
        <v>445</v>
      </c>
      <c r="AF29" s="31">
        <v>249</v>
      </c>
      <c r="AG29" s="32">
        <v>455</v>
      </c>
      <c r="AH29" s="30">
        <v>142</v>
      </c>
      <c r="AI29" s="31">
        <v>197</v>
      </c>
      <c r="AJ29" s="31">
        <v>228</v>
      </c>
      <c r="AK29" s="31">
        <v>251</v>
      </c>
      <c r="AL29" s="31">
        <v>290</v>
      </c>
      <c r="AM29" s="31">
        <v>250</v>
      </c>
      <c r="AN29" s="31">
        <v>180</v>
      </c>
      <c r="AO29" s="31">
        <v>235</v>
      </c>
      <c r="AP29" s="31">
        <v>168</v>
      </c>
      <c r="AQ29" s="32">
        <v>161</v>
      </c>
      <c r="AR29" s="87">
        <v>-34</v>
      </c>
      <c r="AS29" s="88">
        <v>-77</v>
      </c>
      <c r="AT29" s="88">
        <v>-212</v>
      </c>
      <c r="AU29" s="88">
        <v>1</v>
      </c>
      <c r="AV29" s="88">
        <v>13</v>
      </c>
      <c r="AW29" s="88">
        <v>230</v>
      </c>
      <c r="AX29" s="88">
        <v>-115</v>
      </c>
      <c r="AY29" s="88">
        <v>-39</v>
      </c>
      <c r="AZ29" s="88">
        <v>137</v>
      </c>
      <c r="BA29" s="89">
        <v>32</v>
      </c>
      <c r="BB29" s="30">
        <v>203</v>
      </c>
      <c r="BC29" s="31">
        <v>228</v>
      </c>
      <c r="BD29" s="31">
        <v>212</v>
      </c>
      <c r="BE29" s="67">
        <v>208</v>
      </c>
      <c r="BF29" s="88">
        <v>210</v>
      </c>
      <c r="BG29" s="88">
        <v>255</v>
      </c>
      <c r="BH29" s="88">
        <v>243</v>
      </c>
      <c r="BI29" s="88">
        <v>259</v>
      </c>
      <c r="BJ29" s="88">
        <v>220</v>
      </c>
      <c r="BK29" s="123">
        <v>407</v>
      </c>
      <c r="BL29" s="126">
        <v>60</v>
      </c>
      <c r="BM29" s="5">
        <v>175</v>
      </c>
      <c r="BN29" s="5">
        <v>175</v>
      </c>
      <c r="BO29" s="5">
        <v>175</v>
      </c>
      <c r="BP29" s="5">
        <v>0</v>
      </c>
      <c r="BQ29" s="123">
        <f>Population!BQ29-Population!BP29</f>
        <v>0</v>
      </c>
    </row>
    <row r="30" spans="1:69" x14ac:dyDescent="0.2">
      <c r="A30" s="20" t="s">
        <v>51</v>
      </c>
      <c r="B30" s="21" t="s">
        <v>52</v>
      </c>
      <c r="C30" s="25" t="s">
        <v>2</v>
      </c>
      <c r="D30" s="30">
        <v>-214</v>
      </c>
      <c r="E30" s="31">
        <v>100</v>
      </c>
      <c r="F30" s="31">
        <v>-300</v>
      </c>
      <c r="G30" s="31">
        <v>-200</v>
      </c>
      <c r="H30" s="31">
        <v>-200</v>
      </c>
      <c r="I30" s="31">
        <v>100</v>
      </c>
      <c r="J30" s="31">
        <v>-100</v>
      </c>
      <c r="K30" s="31">
        <v>-100</v>
      </c>
      <c r="L30" s="31">
        <v>0</v>
      </c>
      <c r="M30" s="32">
        <v>25</v>
      </c>
      <c r="N30" s="30">
        <v>175</v>
      </c>
      <c r="O30" s="31">
        <v>200</v>
      </c>
      <c r="P30" s="31">
        <v>300</v>
      </c>
      <c r="Q30" s="31">
        <v>400</v>
      </c>
      <c r="R30" s="31">
        <v>500</v>
      </c>
      <c r="S30" s="31">
        <v>200</v>
      </c>
      <c r="T30" s="31">
        <v>200</v>
      </c>
      <c r="U30" s="31">
        <v>300</v>
      </c>
      <c r="V30" s="31">
        <v>100</v>
      </c>
      <c r="W30" s="32">
        <v>180</v>
      </c>
      <c r="X30" s="30">
        <v>96</v>
      </c>
      <c r="Y30" s="31">
        <v>-23</v>
      </c>
      <c r="Z30" s="31">
        <v>88</v>
      </c>
      <c r="AA30" s="31">
        <v>37</v>
      </c>
      <c r="AB30" s="31">
        <v>-34</v>
      </c>
      <c r="AC30" s="31">
        <v>17</v>
      </c>
      <c r="AD30" s="31">
        <v>12</v>
      </c>
      <c r="AE30" s="31">
        <v>2</v>
      </c>
      <c r="AF30" s="31">
        <v>7</v>
      </c>
      <c r="AG30" s="32">
        <v>133</v>
      </c>
      <c r="AH30" s="30">
        <v>239</v>
      </c>
      <c r="AI30" s="31">
        <v>199</v>
      </c>
      <c r="AJ30" s="31">
        <v>274</v>
      </c>
      <c r="AK30" s="31">
        <v>291</v>
      </c>
      <c r="AL30" s="31">
        <v>349</v>
      </c>
      <c r="AM30" s="31">
        <v>312</v>
      </c>
      <c r="AN30" s="31">
        <v>278</v>
      </c>
      <c r="AO30" s="31">
        <v>289</v>
      </c>
      <c r="AP30" s="31">
        <v>283</v>
      </c>
      <c r="AQ30" s="32">
        <v>303</v>
      </c>
      <c r="AR30" s="87">
        <v>181</v>
      </c>
      <c r="AS30" s="88">
        <v>100</v>
      </c>
      <c r="AT30" s="88">
        <v>110</v>
      </c>
      <c r="AU30" s="88">
        <v>68</v>
      </c>
      <c r="AV30" s="88">
        <v>146</v>
      </c>
      <c r="AW30" s="88">
        <v>127</v>
      </c>
      <c r="AX30" s="88">
        <v>230</v>
      </c>
      <c r="AY30" s="88">
        <v>150</v>
      </c>
      <c r="AZ30" s="88">
        <v>96</v>
      </c>
      <c r="BA30" s="89">
        <v>61</v>
      </c>
      <c r="BB30" s="30">
        <v>62</v>
      </c>
      <c r="BC30" s="31">
        <v>44</v>
      </c>
      <c r="BD30" s="31">
        <v>4</v>
      </c>
      <c r="BE30" s="67">
        <v>30</v>
      </c>
      <c r="BF30" s="88">
        <v>9</v>
      </c>
      <c r="BG30" s="88">
        <v>30</v>
      </c>
      <c r="BH30" s="88">
        <v>48</v>
      </c>
      <c r="BI30" s="88">
        <v>39</v>
      </c>
      <c r="BJ30" s="88">
        <v>59</v>
      </c>
      <c r="BK30" s="123">
        <v>75</v>
      </c>
      <c r="BL30" s="126">
        <v>74</v>
      </c>
      <c r="BM30" s="5">
        <v>150</v>
      </c>
      <c r="BN30" s="5">
        <v>100</v>
      </c>
      <c r="BO30" s="5">
        <v>125</v>
      </c>
      <c r="BP30" s="5">
        <v>100</v>
      </c>
      <c r="BQ30" s="123">
        <f>Population!BQ30-Population!BP30</f>
        <v>150</v>
      </c>
    </row>
    <row r="31" spans="1:69" x14ac:dyDescent="0.2">
      <c r="A31" s="20" t="s">
        <v>53</v>
      </c>
      <c r="B31" s="21" t="s">
        <v>54</v>
      </c>
      <c r="C31" s="25" t="s">
        <v>2</v>
      </c>
      <c r="D31" s="30">
        <v>7510</v>
      </c>
      <c r="E31" s="31">
        <v>8200</v>
      </c>
      <c r="F31" s="31">
        <v>5400</v>
      </c>
      <c r="G31" s="31">
        <v>6500</v>
      </c>
      <c r="H31" s="31">
        <v>9400</v>
      </c>
      <c r="I31" s="31">
        <v>9800</v>
      </c>
      <c r="J31" s="31">
        <v>14900</v>
      </c>
      <c r="K31" s="31">
        <v>14800</v>
      </c>
      <c r="L31" s="31">
        <v>13900</v>
      </c>
      <c r="M31" s="32">
        <v>344</v>
      </c>
      <c r="N31" s="30">
        <v>10556</v>
      </c>
      <c r="O31" s="31">
        <v>-19900</v>
      </c>
      <c r="P31" s="31">
        <v>-2900</v>
      </c>
      <c r="Q31" s="31">
        <v>13400</v>
      </c>
      <c r="R31" s="31">
        <v>8100</v>
      </c>
      <c r="S31" s="31">
        <v>9200</v>
      </c>
      <c r="T31" s="31">
        <v>5800</v>
      </c>
      <c r="U31" s="31">
        <v>18100</v>
      </c>
      <c r="V31" s="31">
        <v>14300</v>
      </c>
      <c r="W31" s="32">
        <v>16667</v>
      </c>
      <c r="X31" s="30">
        <v>16582</v>
      </c>
      <c r="Y31" s="31">
        <v>3639</v>
      </c>
      <c r="Z31" s="31">
        <v>6695</v>
      </c>
      <c r="AA31" s="31">
        <v>7921</v>
      </c>
      <c r="AB31" s="31">
        <v>9249</v>
      </c>
      <c r="AC31" s="31">
        <v>6499</v>
      </c>
      <c r="AD31" s="31">
        <v>10053</v>
      </c>
      <c r="AE31" s="31">
        <v>11954</v>
      </c>
      <c r="AF31" s="31">
        <v>15313</v>
      </c>
      <c r="AG31" s="32">
        <v>12631</v>
      </c>
      <c r="AH31" s="30">
        <v>11862</v>
      </c>
      <c r="AI31" s="31">
        <v>12554</v>
      </c>
      <c r="AJ31" s="31">
        <v>13078</v>
      </c>
      <c r="AK31" s="31">
        <v>13105</v>
      </c>
      <c r="AL31" s="31">
        <v>12482</v>
      </c>
      <c r="AM31" s="31">
        <v>3928</v>
      </c>
      <c r="AN31" s="31">
        <v>10858</v>
      </c>
      <c r="AO31" s="31">
        <v>11581</v>
      </c>
      <c r="AP31" s="31">
        <v>13233</v>
      </c>
      <c r="AQ31" s="32">
        <v>11934</v>
      </c>
      <c r="AR31" s="87">
        <v>8470</v>
      </c>
      <c r="AS31" s="88">
        <v>11836</v>
      </c>
      <c r="AT31" s="88">
        <v>10845</v>
      </c>
      <c r="AU31" s="88">
        <v>11732</v>
      </c>
      <c r="AV31" s="88">
        <v>13218</v>
      </c>
      <c r="AW31" s="88">
        <v>17131</v>
      </c>
      <c r="AX31" s="88">
        <v>12861</v>
      </c>
      <c r="AY31" s="88">
        <v>7419</v>
      </c>
      <c r="AZ31" s="88">
        <v>2570</v>
      </c>
      <c r="BA31" s="89">
        <v>-1675</v>
      </c>
      <c r="BB31" s="30">
        <v>10965</v>
      </c>
      <c r="BC31" s="31">
        <v>8024</v>
      </c>
      <c r="BD31" s="31">
        <v>8818</v>
      </c>
      <c r="BE31" s="67">
        <v>11512</v>
      </c>
      <c r="BF31" s="88">
        <v>10780</v>
      </c>
      <c r="BG31" s="88">
        <v>17284</v>
      </c>
      <c r="BH31" s="88">
        <v>15312</v>
      </c>
      <c r="BI31" s="88">
        <v>13741</v>
      </c>
      <c r="BJ31" s="88">
        <v>14180</v>
      </c>
      <c r="BK31" s="123">
        <v>14552</v>
      </c>
      <c r="BL31" s="126">
        <v>7807</v>
      </c>
      <c r="BM31" s="5">
        <v>9200</v>
      </c>
      <c r="BN31" s="5">
        <v>8900</v>
      </c>
      <c r="BO31" s="5">
        <v>6300</v>
      </c>
      <c r="BP31" s="5">
        <v>7300</v>
      </c>
      <c r="BQ31" s="123">
        <f>Population!BQ31-Population!BP31</f>
        <v>7100</v>
      </c>
    </row>
    <row r="32" spans="1:69" x14ac:dyDescent="0.2">
      <c r="A32" s="20" t="s">
        <v>55</v>
      </c>
      <c r="B32" s="21" t="s">
        <v>56</v>
      </c>
      <c r="C32" s="25" t="s">
        <v>2</v>
      </c>
      <c r="D32" s="30">
        <v>28</v>
      </c>
      <c r="E32" s="31">
        <v>0</v>
      </c>
      <c r="F32" s="31">
        <v>100</v>
      </c>
      <c r="G32" s="31">
        <v>0</v>
      </c>
      <c r="H32" s="31">
        <v>100</v>
      </c>
      <c r="I32" s="31">
        <v>0</v>
      </c>
      <c r="J32" s="31">
        <v>300</v>
      </c>
      <c r="K32" s="31">
        <v>200</v>
      </c>
      <c r="L32" s="31">
        <v>0</v>
      </c>
      <c r="M32" s="32">
        <v>256</v>
      </c>
      <c r="N32" s="30">
        <v>244</v>
      </c>
      <c r="O32" s="31">
        <v>500</v>
      </c>
      <c r="P32" s="31">
        <v>400</v>
      </c>
      <c r="Q32" s="31">
        <v>400</v>
      </c>
      <c r="R32" s="31">
        <v>0</v>
      </c>
      <c r="S32" s="31">
        <v>300</v>
      </c>
      <c r="T32" s="31">
        <v>400</v>
      </c>
      <c r="U32" s="31">
        <v>600</v>
      </c>
      <c r="V32" s="31">
        <v>600</v>
      </c>
      <c r="W32" s="32">
        <v>538</v>
      </c>
      <c r="X32" s="30">
        <v>253</v>
      </c>
      <c r="Y32" s="31">
        <v>261</v>
      </c>
      <c r="Z32" s="31">
        <v>181</v>
      </c>
      <c r="AA32" s="31">
        <v>265</v>
      </c>
      <c r="AB32" s="31">
        <v>106</v>
      </c>
      <c r="AC32" s="31">
        <v>233</v>
      </c>
      <c r="AD32" s="31">
        <v>111</v>
      </c>
      <c r="AE32" s="31">
        <v>201</v>
      </c>
      <c r="AF32" s="31">
        <v>190</v>
      </c>
      <c r="AG32" s="32">
        <v>396</v>
      </c>
      <c r="AH32" s="30">
        <v>748</v>
      </c>
      <c r="AI32" s="31">
        <v>596</v>
      </c>
      <c r="AJ32" s="31">
        <v>670</v>
      </c>
      <c r="AK32" s="31">
        <v>360</v>
      </c>
      <c r="AL32" s="31">
        <v>338</v>
      </c>
      <c r="AM32" s="31">
        <v>86</v>
      </c>
      <c r="AN32" s="31">
        <v>116</v>
      </c>
      <c r="AO32" s="31">
        <v>93</v>
      </c>
      <c r="AP32" s="31">
        <v>464</v>
      </c>
      <c r="AQ32" s="32">
        <v>571</v>
      </c>
      <c r="AR32" s="87">
        <v>325</v>
      </c>
      <c r="AS32" s="88">
        <v>262</v>
      </c>
      <c r="AT32" s="88">
        <v>108</v>
      </c>
      <c r="AU32" s="88">
        <v>163</v>
      </c>
      <c r="AV32" s="88">
        <v>245</v>
      </c>
      <c r="AW32" s="88">
        <v>199</v>
      </c>
      <c r="AX32" s="88">
        <v>104</v>
      </c>
      <c r="AY32" s="88">
        <v>151</v>
      </c>
      <c r="AZ32" s="88">
        <v>104</v>
      </c>
      <c r="BA32" s="89">
        <v>31</v>
      </c>
      <c r="BB32" s="30">
        <v>177</v>
      </c>
      <c r="BC32" s="31">
        <v>110</v>
      </c>
      <c r="BD32" s="31">
        <v>182</v>
      </c>
      <c r="BE32" s="67">
        <v>184</v>
      </c>
      <c r="BF32" s="88">
        <v>149</v>
      </c>
      <c r="BG32" s="88">
        <v>204</v>
      </c>
      <c r="BH32" s="88">
        <v>157</v>
      </c>
      <c r="BI32" s="88">
        <v>277</v>
      </c>
      <c r="BJ32" s="88">
        <v>279</v>
      </c>
      <c r="BK32" s="123">
        <v>300</v>
      </c>
      <c r="BL32" s="126">
        <v>62</v>
      </c>
      <c r="BM32" s="5">
        <v>300</v>
      </c>
      <c r="BN32" s="5">
        <v>200</v>
      </c>
      <c r="BO32" s="5">
        <v>125</v>
      </c>
      <c r="BP32" s="5">
        <v>75</v>
      </c>
      <c r="BQ32" s="123">
        <f>Population!BQ32-Population!BP32</f>
        <v>100</v>
      </c>
    </row>
    <row r="33" spans="1:69" x14ac:dyDescent="0.2">
      <c r="A33" s="20" t="s">
        <v>57</v>
      </c>
      <c r="B33" s="21" t="s">
        <v>58</v>
      </c>
      <c r="C33" s="25" t="s">
        <v>2</v>
      </c>
      <c r="D33" s="30">
        <v>-50</v>
      </c>
      <c r="E33" s="31">
        <v>300</v>
      </c>
      <c r="F33" s="31">
        <v>-500</v>
      </c>
      <c r="G33" s="31">
        <v>-300</v>
      </c>
      <c r="H33" s="31">
        <v>100</v>
      </c>
      <c r="I33" s="31">
        <v>300</v>
      </c>
      <c r="J33" s="31">
        <v>800</v>
      </c>
      <c r="K33" s="31">
        <v>600</v>
      </c>
      <c r="L33" s="31">
        <v>-600</v>
      </c>
      <c r="M33" s="32">
        <v>381</v>
      </c>
      <c r="N33" s="30">
        <v>319</v>
      </c>
      <c r="O33" s="31">
        <v>-700</v>
      </c>
      <c r="P33" s="31">
        <v>100</v>
      </c>
      <c r="Q33" s="31">
        <v>1300</v>
      </c>
      <c r="R33" s="31">
        <v>700</v>
      </c>
      <c r="S33" s="31">
        <v>1200</v>
      </c>
      <c r="T33" s="31">
        <v>900</v>
      </c>
      <c r="U33" s="31">
        <v>1900</v>
      </c>
      <c r="V33" s="31">
        <v>2300</v>
      </c>
      <c r="W33" s="32">
        <v>3738</v>
      </c>
      <c r="X33" s="30">
        <v>793</v>
      </c>
      <c r="Y33" s="31">
        <v>1856</v>
      </c>
      <c r="Z33" s="31">
        <v>1582</v>
      </c>
      <c r="AA33" s="31">
        <v>266</v>
      </c>
      <c r="AB33" s="31">
        <v>837</v>
      </c>
      <c r="AC33" s="31">
        <v>1491</v>
      </c>
      <c r="AD33" s="31">
        <v>422</v>
      </c>
      <c r="AE33" s="31">
        <v>2020</v>
      </c>
      <c r="AF33" s="31">
        <v>2209</v>
      </c>
      <c r="AG33" s="32">
        <v>3931</v>
      </c>
      <c r="AH33" s="30">
        <v>3258</v>
      </c>
      <c r="AI33" s="31">
        <v>2220</v>
      </c>
      <c r="AJ33" s="31">
        <v>2527</v>
      </c>
      <c r="AK33" s="31">
        <v>2570</v>
      </c>
      <c r="AL33" s="31">
        <v>2507</v>
      </c>
      <c r="AM33" s="31">
        <v>2154</v>
      </c>
      <c r="AN33" s="31">
        <v>2169</v>
      </c>
      <c r="AO33" s="31">
        <v>1800</v>
      </c>
      <c r="AP33" s="31">
        <v>1671</v>
      </c>
      <c r="AQ33" s="32">
        <v>2558</v>
      </c>
      <c r="AR33" s="87">
        <v>1267</v>
      </c>
      <c r="AS33" s="88">
        <v>1615</v>
      </c>
      <c r="AT33" s="88">
        <v>786</v>
      </c>
      <c r="AU33" s="88">
        <v>1847</v>
      </c>
      <c r="AV33" s="88">
        <v>1483</v>
      </c>
      <c r="AW33" s="88">
        <v>2136</v>
      </c>
      <c r="AX33" s="88">
        <v>1777</v>
      </c>
      <c r="AY33" s="88">
        <v>1532</v>
      </c>
      <c r="AZ33" s="88">
        <v>1190</v>
      </c>
      <c r="BA33" s="89">
        <v>289</v>
      </c>
      <c r="BB33" s="30">
        <v>716</v>
      </c>
      <c r="BC33" s="31">
        <v>714</v>
      </c>
      <c r="BD33" s="31">
        <v>888</v>
      </c>
      <c r="BE33" s="67">
        <v>978</v>
      </c>
      <c r="BF33" s="88">
        <v>969</v>
      </c>
      <c r="BG33" s="88">
        <v>1299</v>
      </c>
      <c r="BH33" s="88">
        <v>1262</v>
      </c>
      <c r="BI33" s="88">
        <v>2168</v>
      </c>
      <c r="BJ33" s="88">
        <v>2142</v>
      </c>
      <c r="BK33" s="123">
        <v>1486</v>
      </c>
      <c r="BL33" s="126">
        <v>477</v>
      </c>
      <c r="BM33" s="5">
        <v>1250</v>
      </c>
      <c r="BN33" s="5">
        <v>750</v>
      </c>
      <c r="BO33" s="5">
        <v>1300</v>
      </c>
      <c r="BP33" s="5">
        <v>1300</v>
      </c>
      <c r="BQ33" s="123">
        <f>Population!BQ33-Population!BP33</f>
        <v>750</v>
      </c>
    </row>
    <row r="34" spans="1:69" x14ac:dyDescent="0.2">
      <c r="A34" s="20" t="s">
        <v>59</v>
      </c>
      <c r="B34" s="21" t="s">
        <v>60</v>
      </c>
      <c r="C34" s="25" t="s">
        <v>2</v>
      </c>
      <c r="D34" s="30">
        <v>-7</v>
      </c>
      <c r="E34" s="31">
        <v>100</v>
      </c>
      <c r="F34" s="31">
        <v>100</v>
      </c>
      <c r="G34" s="31">
        <v>0</v>
      </c>
      <c r="H34" s="31">
        <v>100</v>
      </c>
      <c r="I34" s="31">
        <v>-200</v>
      </c>
      <c r="J34" s="31">
        <v>200</v>
      </c>
      <c r="K34" s="31">
        <v>200</v>
      </c>
      <c r="L34" s="31">
        <v>0</v>
      </c>
      <c r="M34" s="32">
        <v>145</v>
      </c>
      <c r="N34" s="30">
        <v>55</v>
      </c>
      <c r="O34" s="31">
        <v>200</v>
      </c>
      <c r="P34" s="31">
        <v>0</v>
      </c>
      <c r="Q34" s="31">
        <v>300</v>
      </c>
      <c r="R34" s="31">
        <v>-100</v>
      </c>
      <c r="S34" s="31">
        <v>-100</v>
      </c>
      <c r="T34" s="31">
        <v>600</v>
      </c>
      <c r="U34" s="31">
        <v>100</v>
      </c>
      <c r="V34" s="31">
        <v>500</v>
      </c>
      <c r="W34" s="32">
        <v>519</v>
      </c>
      <c r="X34" s="30">
        <v>-70</v>
      </c>
      <c r="Y34" s="31">
        <v>40</v>
      </c>
      <c r="Z34" s="31">
        <v>78</v>
      </c>
      <c r="AA34" s="31">
        <v>6</v>
      </c>
      <c r="AB34" s="31">
        <v>-27</v>
      </c>
      <c r="AC34" s="31">
        <v>1</v>
      </c>
      <c r="AD34" s="31">
        <v>115</v>
      </c>
      <c r="AE34" s="31">
        <v>44</v>
      </c>
      <c r="AF34" s="31">
        <v>95</v>
      </c>
      <c r="AG34" s="32">
        <v>88</v>
      </c>
      <c r="AH34" s="30">
        <v>243</v>
      </c>
      <c r="AI34" s="31">
        <v>93</v>
      </c>
      <c r="AJ34" s="31">
        <v>111</v>
      </c>
      <c r="AK34" s="31">
        <v>172</v>
      </c>
      <c r="AL34" s="31">
        <v>149</v>
      </c>
      <c r="AM34" s="31">
        <v>179</v>
      </c>
      <c r="AN34" s="31">
        <v>166</v>
      </c>
      <c r="AO34" s="31">
        <v>156</v>
      </c>
      <c r="AP34" s="31">
        <v>186</v>
      </c>
      <c r="AQ34" s="32">
        <v>128</v>
      </c>
      <c r="AR34" s="87">
        <v>69</v>
      </c>
      <c r="AS34" s="88">
        <v>104</v>
      </c>
      <c r="AT34" s="88">
        <v>72</v>
      </c>
      <c r="AU34" s="88">
        <v>167</v>
      </c>
      <c r="AV34" s="88">
        <v>231</v>
      </c>
      <c r="AW34" s="88">
        <v>262</v>
      </c>
      <c r="AX34" s="88">
        <v>115</v>
      </c>
      <c r="AY34" s="88">
        <v>49</v>
      </c>
      <c r="AZ34" s="88">
        <v>54</v>
      </c>
      <c r="BA34" s="89">
        <v>71</v>
      </c>
      <c r="BB34" s="30">
        <v>29</v>
      </c>
      <c r="BC34" s="31">
        <v>57</v>
      </c>
      <c r="BD34" s="31">
        <v>14</v>
      </c>
      <c r="BE34" s="67">
        <v>25</v>
      </c>
      <c r="BF34" s="88">
        <v>18</v>
      </c>
      <c r="BG34" s="88">
        <v>47</v>
      </c>
      <c r="BH34" s="88">
        <v>75</v>
      </c>
      <c r="BI34" s="88">
        <v>81</v>
      </c>
      <c r="BJ34" s="88">
        <v>105</v>
      </c>
      <c r="BK34" s="123">
        <v>87</v>
      </c>
      <c r="BL34" s="126">
        <v>146</v>
      </c>
      <c r="BM34" s="5">
        <v>150</v>
      </c>
      <c r="BN34" s="5">
        <v>100</v>
      </c>
      <c r="BO34" s="5">
        <v>75</v>
      </c>
      <c r="BP34" s="5">
        <v>75</v>
      </c>
      <c r="BQ34" s="123">
        <f>Population!BQ34-Population!BP34</f>
        <v>0</v>
      </c>
    </row>
    <row r="35" spans="1:69" x14ac:dyDescent="0.2">
      <c r="A35" s="20" t="s">
        <v>61</v>
      </c>
      <c r="B35" s="21" t="s">
        <v>62</v>
      </c>
      <c r="C35" s="25" t="s">
        <v>2</v>
      </c>
      <c r="D35" s="30">
        <v>7701</v>
      </c>
      <c r="E35" s="31">
        <v>8500</v>
      </c>
      <c r="F35" s="31">
        <v>6900</v>
      </c>
      <c r="G35" s="31">
        <v>7700</v>
      </c>
      <c r="H35" s="31">
        <v>9700</v>
      </c>
      <c r="I35" s="31">
        <v>9800</v>
      </c>
      <c r="J35" s="31">
        <v>13200</v>
      </c>
      <c r="K35" s="31">
        <v>13300</v>
      </c>
      <c r="L35" s="31">
        <v>18000</v>
      </c>
      <c r="M35" s="32">
        <v>-1764</v>
      </c>
      <c r="N35" s="30">
        <v>-3036</v>
      </c>
      <c r="O35" s="31">
        <v>1100</v>
      </c>
      <c r="P35" s="31">
        <v>500</v>
      </c>
      <c r="Q35" s="31">
        <v>3800</v>
      </c>
      <c r="R35" s="31">
        <v>2500</v>
      </c>
      <c r="S35" s="31">
        <v>5400</v>
      </c>
      <c r="T35" s="31">
        <v>7000</v>
      </c>
      <c r="U35" s="31">
        <v>15400</v>
      </c>
      <c r="V35" s="31">
        <v>20900</v>
      </c>
      <c r="W35" s="32">
        <v>18920</v>
      </c>
      <c r="X35" s="30">
        <v>11876</v>
      </c>
      <c r="Y35" s="31">
        <v>8151</v>
      </c>
      <c r="Z35" s="31">
        <v>5805</v>
      </c>
      <c r="AA35" s="31">
        <v>7017</v>
      </c>
      <c r="AB35" s="31">
        <v>10525</v>
      </c>
      <c r="AC35" s="31">
        <v>12003</v>
      </c>
      <c r="AD35" s="31">
        <v>12996</v>
      </c>
      <c r="AE35" s="31">
        <v>16294</v>
      </c>
      <c r="AF35" s="31">
        <v>22073</v>
      </c>
      <c r="AG35" s="32">
        <v>21168</v>
      </c>
      <c r="AH35" s="30">
        <v>22447</v>
      </c>
      <c r="AI35" s="31">
        <v>8386</v>
      </c>
      <c r="AJ35" s="31">
        <v>10875</v>
      </c>
      <c r="AK35" s="31">
        <v>12624</v>
      </c>
      <c r="AL35" s="31">
        <v>11744</v>
      </c>
      <c r="AM35" s="31">
        <v>11034</v>
      </c>
      <c r="AN35" s="31">
        <v>11847</v>
      </c>
      <c r="AO35" s="31">
        <v>16311</v>
      </c>
      <c r="AP35" s="31">
        <v>18370</v>
      </c>
      <c r="AQ35" s="32">
        <v>16758</v>
      </c>
      <c r="AR35" s="87">
        <v>11840</v>
      </c>
      <c r="AS35" s="88">
        <v>11423</v>
      </c>
      <c r="AT35" s="88">
        <v>10655</v>
      </c>
      <c r="AU35" s="88">
        <v>8836</v>
      </c>
      <c r="AV35" s="88">
        <v>12568</v>
      </c>
      <c r="AW35" s="88">
        <v>14780</v>
      </c>
      <c r="AX35" s="88">
        <v>13188</v>
      </c>
      <c r="AY35" s="88">
        <v>10016</v>
      </c>
      <c r="AZ35" s="88">
        <v>6564</v>
      </c>
      <c r="BA35" s="89">
        <v>7441</v>
      </c>
      <c r="BB35" s="30">
        <v>5539</v>
      </c>
      <c r="BC35" s="31">
        <v>6671</v>
      </c>
      <c r="BD35" s="31">
        <v>9743</v>
      </c>
      <c r="BE35" s="67">
        <v>10896</v>
      </c>
      <c r="BF35" s="88">
        <v>14246</v>
      </c>
      <c r="BG35" s="88">
        <v>13469</v>
      </c>
      <c r="BH35" s="88">
        <v>13197</v>
      </c>
      <c r="BI35" s="88">
        <v>14127</v>
      </c>
      <c r="BJ35" s="88">
        <v>13196</v>
      </c>
      <c r="BK35" s="123">
        <v>13538</v>
      </c>
      <c r="BL35" s="126">
        <v>9843</v>
      </c>
      <c r="BM35" s="5">
        <v>9500</v>
      </c>
      <c r="BN35" s="5">
        <v>12500</v>
      </c>
      <c r="BO35" s="5">
        <v>7300</v>
      </c>
      <c r="BP35" s="5">
        <v>6700</v>
      </c>
      <c r="BQ35" s="123">
        <f>Population!BQ35-Population!BP35</f>
        <v>5900</v>
      </c>
    </row>
    <row r="36" spans="1:69" x14ac:dyDescent="0.2">
      <c r="A36" s="20" t="s">
        <v>63</v>
      </c>
      <c r="B36" s="21" t="s">
        <v>64</v>
      </c>
      <c r="C36" s="25" t="s">
        <v>2</v>
      </c>
      <c r="D36" s="30">
        <v>367</v>
      </c>
      <c r="E36" s="31">
        <v>1100</v>
      </c>
      <c r="F36" s="31">
        <v>-1300</v>
      </c>
      <c r="G36" s="31">
        <v>-600</v>
      </c>
      <c r="H36" s="31">
        <v>-700</v>
      </c>
      <c r="I36" s="31">
        <v>-600</v>
      </c>
      <c r="J36" s="31">
        <v>-2400</v>
      </c>
      <c r="K36" s="31">
        <v>2100</v>
      </c>
      <c r="L36" s="31">
        <v>3700</v>
      </c>
      <c r="M36" s="32">
        <v>7487</v>
      </c>
      <c r="N36" s="30">
        <v>4513</v>
      </c>
      <c r="O36" s="31">
        <v>4900</v>
      </c>
      <c r="P36" s="31">
        <v>2600</v>
      </c>
      <c r="Q36" s="31">
        <v>4500</v>
      </c>
      <c r="R36" s="31">
        <v>300</v>
      </c>
      <c r="S36" s="31">
        <v>6700</v>
      </c>
      <c r="T36" s="31">
        <v>7900</v>
      </c>
      <c r="U36" s="31">
        <v>4600</v>
      </c>
      <c r="V36" s="31">
        <v>10600</v>
      </c>
      <c r="W36" s="32">
        <v>7735</v>
      </c>
      <c r="X36" s="30">
        <v>4980</v>
      </c>
      <c r="Y36" s="31">
        <v>-141</v>
      </c>
      <c r="Z36" s="31">
        <v>-596</v>
      </c>
      <c r="AA36" s="31">
        <v>1712</v>
      </c>
      <c r="AB36" s="31">
        <v>3627</v>
      </c>
      <c r="AC36" s="31">
        <v>-1069</v>
      </c>
      <c r="AD36" s="31">
        <v>-1645</v>
      </c>
      <c r="AE36" s="31">
        <v>712</v>
      </c>
      <c r="AF36" s="31">
        <v>3300</v>
      </c>
      <c r="AG36" s="32">
        <v>8618</v>
      </c>
      <c r="AH36" s="30">
        <v>4554</v>
      </c>
      <c r="AI36" s="31">
        <v>5260</v>
      </c>
      <c r="AJ36" s="31">
        <v>5873</v>
      </c>
      <c r="AK36" s="31">
        <v>7015</v>
      </c>
      <c r="AL36" s="31">
        <v>7283</v>
      </c>
      <c r="AM36" s="31">
        <v>6190</v>
      </c>
      <c r="AN36" s="31">
        <v>6446</v>
      </c>
      <c r="AO36" s="31">
        <v>4786</v>
      </c>
      <c r="AP36" s="31">
        <v>4925</v>
      </c>
      <c r="AQ36" s="32">
        <v>4274</v>
      </c>
      <c r="AR36" s="87">
        <v>5188</v>
      </c>
      <c r="AS36" s="88">
        <v>5628</v>
      </c>
      <c r="AT36" s="88">
        <v>134</v>
      </c>
      <c r="AU36" s="88">
        <v>3016</v>
      </c>
      <c r="AV36" s="88">
        <v>6344</v>
      </c>
      <c r="AW36" s="88">
        <v>8502</v>
      </c>
      <c r="AX36" s="88">
        <v>7283</v>
      </c>
      <c r="AY36" s="88">
        <v>6269</v>
      </c>
      <c r="AZ36" s="88">
        <v>6123</v>
      </c>
      <c r="BA36" s="89">
        <v>4795</v>
      </c>
      <c r="BB36" s="30">
        <v>3218</v>
      </c>
      <c r="BC36" s="31">
        <v>3942</v>
      </c>
      <c r="BD36" s="31">
        <v>5780</v>
      </c>
      <c r="BE36" s="67">
        <v>5825</v>
      </c>
      <c r="BF36" s="88">
        <v>6000</v>
      </c>
      <c r="BG36" s="88">
        <v>6720</v>
      </c>
      <c r="BH36" s="88">
        <v>8947</v>
      </c>
      <c r="BI36" s="88">
        <v>10684</v>
      </c>
      <c r="BJ36" s="88">
        <v>8854</v>
      </c>
      <c r="BK36" s="123">
        <v>8148</v>
      </c>
      <c r="BL36" s="126">
        <v>2761</v>
      </c>
      <c r="BM36" s="5">
        <v>8600</v>
      </c>
      <c r="BN36" s="5">
        <v>3900</v>
      </c>
      <c r="BO36" s="5">
        <v>4800</v>
      </c>
      <c r="BP36" s="5">
        <v>6600</v>
      </c>
      <c r="BQ36" s="123">
        <f>Population!BQ36-Population!BP36</f>
        <v>4600</v>
      </c>
    </row>
    <row r="37" spans="1:69" x14ac:dyDescent="0.2">
      <c r="A37" s="20" t="s">
        <v>65</v>
      </c>
      <c r="B37" s="21" t="s">
        <v>66</v>
      </c>
      <c r="C37" s="25" t="s">
        <v>2</v>
      </c>
      <c r="D37" s="30">
        <v>116</v>
      </c>
      <c r="E37" s="31">
        <v>0</v>
      </c>
      <c r="F37" s="31">
        <v>-500</v>
      </c>
      <c r="G37" s="31">
        <v>-100</v>
      </c>
      <c r="H37" s="31">
        <v>100</v>
      </c>
      <c r="I37" s="31">
        <v>0</v>
      </c>
      <c r="J37" s="31">
        <v>300</v>
      </c>
      <c r="K37" s="31">
        <v>-200</v>
      </c>
      <c r="L37" s="31">
        <v>-200</v>
      </c>
      <c r="M37" s="32">
        <v>5</v>
      </c>
      <c r="N37" s="30">
        <v>195</v>
      </c>
      <c r="O37" s="31">
        <v>800</v>
      </c>
      <c r="P37" s="31">
        <v>800</v>
      </c>
      <c r="Q37" s="31">
        <v>500</v>
      </c>
      <c r="R37" s="31">
        <v>1500</v>
      </c>
      <c r="S37" s="31">
        <v>1700</v>
      </c>
      <c r="T37" s="31">
        <v>1400</v>
      </c>
      <c r="U37" s="31">
        <v>1400</v>
      </c>
      <c r="V37" s="31">
        <v>1700</v>
      </c>
      <c r="W37" s="32">
        <v>1579</v>
      </c>
      <c r="X37" s="30">
        <v>414</v>
      </c>
      <c r="Y37" s="31">
        <v>334</v>
      </c>
      <c r="Z37" s="31">
        <v>316</v>
      </c>
      <c r="AA37" s="31">
        <v>404</v>
      </c>
      <c r="AB37" s="31">
        <v>220</v>
      </c>
      <c r="AC37" s="31">
        <v>-49</v>
      </c>
      <c r="AD37" s="31">
        <v>178</v>
      </c>
      <c r="AE37" s="31">
        <v>-71</v>
      </c>
      <c r="AF37" s="31">
        <v>74</v>
      </c>
      <c r="AG37" s="32">
        <v>149</v>
      </c>
      <c r="AH37" s="30">
        <v>669</v>
      </c>
      <c r="AI37" s="31">
        <v>722</v>
      </c>
      <c r="AJ37" s="31">
        <v>911</v>
      </c>
      <c r="AK37" s="31">
        <v>1000</v>
      </c>
      <c r="AL37" s="31">
        <v>1273</v>
      </c>
      <c r="AM37" s="31">
        <v>981</v>
      </c>
      <c r="AN37" s="31">
        <v>901</v>
      </c>
      <c r="AO37" s="31">
        <v>848</v>
      </c>
      <c r="AP37" s="31">
        <v>869</v>
      </c>
      <c r="AQ37" s="32">
        <v>944</v>
      </c>
      <c r="AR37" s="87">
        <v>265</v>
      </c>
      <c r="AS37" s="88">
        <v>280</v>
      </c>
      <c r="AT37" s="88">
        <v>349</v>
      </c>
      <c r="AU37" s="88">
        <v>373</v>
      </c>
      <c r="AV37" s="88">
        <v>459</v>
      </c>
      <c r="AW37" s="88">
        <v>563</v>
      </c>
      <c r="AX37" s="88">
        <v>404</v>
      </c>
      <c r="AY37" s="88">
        <v>524</v>
      </c>
      <c r="AZ37" s="88">
        <v>227</v>
      </c>
      <c r="BA37" s="89">
        <v>21</v>
      </c>
      <c r="BB37" s="30">
        <v>250</v>
      </c>
      <c r="BC37" s="31">
        <v>195</v>
      </c>
      <c r="BD37" s="31">
        <v>159</v>
      </c>
      <c r="BE37" s="67">
        <v>350</v>
      </c>
      <c r="BF37" s="88">
        <v>244</v>
      </c>
      <c r="BG37" s="88">
        <v>179</v>
      </c>
      <c r="BH37" s="88">
        <v>253</v>
      </c>
      <c r="BI37" s="88">
        <v>431</v>
      </c>
      <c r="BJ37" s="88">
        <v>519</v>
      </c>
      <c r="BK37" s="123">
        <v>334</v>
      </c>
      <c r="BL37" s="126">
        <v>280</v>
      </c>
      <c r="BM37" s="5">
        <v>325</v>
      </c>
      <c r="BN37" s="5">
        <v>300</v>
      </c>
      <c r="BO37" s="5">
        <v>300</v>
      </c>
      <c r="BP37" s="5">
        <v>150</v>
      </c>
      <c r="BQ37" s="123">
        <f>Population!BQ37-Population!BP37</f>
        <v>225</v>
      </c>
    </row>
    <row r="38" spans="1:69" x14ac:dyDescent="0.2">
      <c r="A38" s="20" t="s">
        <v>67</v>
      </c>
      <c r="B38" s="21" t="s">
        <v>68</v>
      </c>
      <c r="C38" s="25" t="s">
        <v>2</v>
      </c>
      <c r="D38" s="30">
        <v>1751</v>
      </c>
      <c r="E38" s="31">
        <v>2200</v>
      </c>
      <c r="F38" s="31">
        <v>1300</v>
      </c>
      <c r="G38" s="31">
        <v>1700</v>
      </c>
      <c r="H38" s="31">
        <v>2400</v>
      </c>
      <c r="I38" s="31">
        <v>2200</v>
      </c>
      <c r="J38" s="31">
        <v>3100</v>
      </c>
      <c r="K38" s="31">
        <v>3200</v>
      </c>
      <c r="L38" s="31">
        <v>3600</v>
      </c>
      <c r="M38" s="32">
        <v>394</v>
      </c>
      <c r="N38" s="30">
        <v>2006</v>
      </c>
      <c r="O38" s="31">
        <v>1500</v>
      </c>
      <c r="P38" s="31">
        <v>1400</v>
      </c>
      <c r="Q38" s="31">
        <v>5200</v>
      </c>
      <c r="R38" s="31">
        <v>3500</v>
      </c>
      <c r="S38" s="31">
        <v>5400</v>
      </c>
      <c r="T38" s="31">
        <v>5000</v>
      </c>
      <c r="U38" s="31">
        <v>9200</v>
      </c>
      <c r="V38" s="31">
        <v>5600</v>
      </c>
      <c r="W38" s="32">
        <v>8564</v>
      </c>
      <c r="X38" s="30">
        <v>4154</v>
      </c>
      <c r="Y38" s="31">
        <v>3088</v>
      </c>
      <c r="Z38" s="31">
        <v>2629</v>
      </c>
      <c r="AA38" s="31">
        <v>2761</v>
      </c>
      <c r="AB38" s="31">
        <v>2842</v>
      </c>
      <c r="AC38" s="31">
        <v>3637</v>
      </c>
      <c r="AD38" s="31">
        <v>3357</v>
      </c>
      <c r="AE38" s="31">
        <v>3457</v>
      </c>
      <c r="AF38" s="31">
        <v>5867</v>
      </c>
      <c r="AG38" s="32">
        <v>5182</v>
      </c>
      <c r="AH38" s="30">
        <v>6425</v>
      </c>
      <c r="AI38" s="31">
        <v>4762</v>
      </c>
      <c r="AJ38" s="31">
        <v>4633</v>
      </c>
      <c r="AK38" s="31">
        <v>4657</v>
      </c>
      <c r="AL38" s="31">
        <v>4704</v>
      </c>
      <c r="AM38" s="31">
        <v>3990</v>
      </c>
      <c r="AN38" s="31">
        <v>4031</v>
      </c>
      <c r="AO38" s="31">
        <v>3995</v>
      </c>
      <c r="AP38" s="31">
        <v>4732</v>
      </c>
      <c r="AQ38" s="32">
        <v>4188</v>
      </c>
      <c r="AR38" s="87">
        <v>2747</v>
      </c>
      <c r="AS38" s="88">
        <v>4037</v>
      </c>
      <c r="AT38" s="88">
        <v>4125</v>
      </c>
      <c r="AU38" s="88">
        <v>4801</v>
      </c>
      <c r="AV38" s="88">
        <v>6221</v>
      </c>
      <c r="AW38" s="88">
        <v>4797</v>
      </c>
      <c r="AX38" s="88">
        <v>5487</v>
      </c>
      <c r="AY38" s="88">
        <v>5283</v>
      </c>
      <c r="AZ38" s="88">
        <v>4483</v>
      </c>
      <c r="BA38" s="89">
        <v>2928</v>
      </c>
      <c r="BB38" s="30">
        <v>2735</v>
      </c>
      <c r="BC38" s="31">
        <v>3518</v>
      </c>
      <c r="BD38" s="31">
        <v>4165</v>
      </c>
      <c r="BE38" s="67">
        <v>4934</v>
      </c>
      <c r="BF38" s="88">
        <v>3793</v>
      </c>
      <c r="BG38" s="88">
        <v>4607</v>
      </c>
      <c r="BH38" s="88">
        <v>4383</v>
      </c>
      <c r="BI38" s="88">
        <v>5443</v>
      </c>
      <c r="BJ38" s="88">
        <v>3755</v>
      </c>
      <c r="BK38" s="123">
        <v>5196</v>
      </c>
      <c r="BL38" s="126">
        <v>3007</v>
      </c>
      <c r="BM38" s="5">
        <v>2700</v>
      </c>
      <c r="BN38" s="5">
        <v>2900</v>
      </c>
      <c r="BO38" s="5">
        <v>3600</v>
      </c>
      <c r="BP38" s="5">
        <v>2100</v>
      </c>
      <c r="BQ38" s="123">
        <f>Population!BQ38-Population!BP38</f>
        <v>3300</v>
      </c>
    </row>
    <row r="39" spans="1:69" x14ac:dyDescent="0.2">
      <c r="A39" s="20" t="s">
        <v>69</v>
      </c>
      <c r="B39" s="21" t="s">
        <v>70</v>
      </c>
      <c r="C39" s="25" t="s">
        <v>2</v>
      </c>
      <c r="D39" s="30">
        <v>74</v>
      </c>
      <c r="E39" s="31">
        <v>0</v>
      </c>
      <c r="F39" s="31">
        <v>-200</v>
      </c>
      <c r="G39" s="31">
        <v>0</v>
      </c>
      <c r="H39" s="31">
        <v>100</v>
      </c>
      <c r="I39" s="31">
        <v>0</v>
      </c>
      <c r="J39" s="31">
        <v>200</v>
      </c>
      <c r="K39" s="31">
        <v>-300</v>
      </c>
      <c r="L39" s="31">
        <v>100</v>
      </c>
      <c r="M39" s="32">
        <v>192</v>
      </c>
      <c r="N39" s="30">
        <v>8</v>
      </c>
      <c r="O39" s="31">
        <v>100</v>
      </c>
      <c r="P39" s="31">
        <v>-100</v>
      </c>
      <c r="Q39" s="31">
        <v>0</v>
      </c>
      <c r="R39" s="31">
        <v>100</v>
      </c>
      <c r="S39" s="31">
        <v>-18</v>
      </c>
      <c r="T39" s="31">
        <v>18</v>
      </c>
      <c r="U39" s="31">
        <v>100</v>
      </c>
      <c r="V39" s="31">
        <v>0</v>
      </c>
      <c r="W39" s="32">
        <v>32</v>
      </c>
      <c r="X39" s="30">
        <v>-85</v>
      </c>
      <c r="Y39" s="31">
        <v>12</v>
      </c>
      <c r="Z39" s="31">
        <v>-53</v>
      </c>
      <c r="AA39" s="31">
        <v>-20</v>
      </c>
      <c r="AB39" s="31">
        <v>-181</v>
      </c>
      <c r="AC39" s="31">
        <v>-92</v>
      </c>
      <c r="AD39" s="31">
        <v>-4</v>
      </c>
      <c r="AE39" s="31">
        <v>-57</v>
      </c>
      <c r="AF39" s="31">
        <v>5</v>
      </c>
      <c r="AG39" s="32">
        <v>-30</v>
      </c>
      <c r="AH39" s="30">
        <v>20</v>
      </c>
      <c r="AI39" s="31">
        <v>11</v>
      </c>
      <c r="AJ39" s="31">
        <v>62</v>
      </c>
      <c r="AK39" s="31">
        <v>62</v>
      </c>
      <c r="AL39" s="31">
        <v>64</v>
      </c>
      <c r="AM39" s="31">
        <v>69</v>
      </c>
      <c r="AN39" s="31">
        <v>41</v>
      </c>
      <c r="AO39" s="31">
        <v>37</v>
      </c>
      <c r="AP39" s="31">
        <v>65</v>
      </c>
      <c r="AQ39" s="32">
        <v>66</v>
      </c>
      <c r="AR39" s="87">
        <v>7</v>
      </c>
      <c r="AS39" s="88">
        <v>-6</v>
      </c>
      <c r="AT39" s="88">
        <v>8</v>
      </c>
      <c r="AU39" s="88">
        <v>-7</v>
      </c>
      <c r="AV39" s="88">
        <v>41</v>
      </c>
      <c r="AW39" s="88">
        <v>45</v>
      </c>
      <c r="AX39" s="88">
        <v>51</v>
      </c>
      <c r="AY39" s="88">
        <v>42</v>
      </c>
      <c r="AZ39" s="88">
        <v>-2</v>
      </c>
      <c r="BA39" s="89">
        <v>-25</v>
      </c>
      <c r="BB39" s="30">
        <v>40</v>
      </c>
      <c r="BC39" s="31">
        <v>32</v>
      </c>
      <c r="BD39" s="31">
        <v>3</v>
      </c>
      <c r="BE39" s="67">
        <v>46</v>
      </c>
      <c r="BF39" s="88">
        <v>29</v>
      </c>
      <c r="BG39" s="88">
        <v>51</v>
      </c>
      <c r="BH39" s="88">
        <v>48</v>
      </c>
      <c r="BI39" s="88">
        <v>66</v>
      </c>
      <c r="BJ39" s="88">
        <v>80</v>
      </c>
      <c r="BK39" s="123">
        <v>49</v>
      </c>
      <c r="BL39" s="126">
        <v>53</v>
      </c>
      <c r="BM39" s="5">
        <v>50</v>
      </c>
      <c r="BN39" s="5">
        <v>25</v>
      </c>
      <c r="BO39" s="5">
        <v>0</v>
      </c>
      <c r="BP39" s="5">
        <v>0</v>
      </c>
      <c r="BQ39" s="123">
        <f>Population!BQ39-Population!BP39</f>
        <v>50</v>
      </c>
    </row>
    <row r="40" spans="1:69" x14ac:dyDescent="0.2">
      <c r="A40" s="20" t="s">
        <v>71</v>
      </c>
      <c r="B40" s="21" t="s">
        <v>72</v>
      </c>
      <c r="C40" s="25" t="s">
        <v>2</v>
      </c>
      <c r="D40" s="30">
        <v>-195</v>
      </c>
      <c r="E40" s="31">
        <v>200</v>
      </c>
      <c r="F40" s="31">
        <v>-600</v>
      </c>
      <c r="G40" s="31">
        <v>-100</v>
      </c>
      <c r="H40" s="31">
        <v>-100</v>
      </c>
      <c r="I40" s="31">
        <v>-200</v>
      </c>
      <c r="J40" s="31">
        <v>800</v>
      </c>
      <c r="K40" s="31">
        <v>-700</v>
      </c>
      <c r="L40" s="31">
        <v>-300</v>
      </c>
      <c r="M40" s="32">
        <v>1176</v>
      </c>
      <c r="N40" s="30">
        <v>424</v>
      </c>
      <c r="O40" s="31">
        <v>-500</v>
      </c>
      <c r="P40" s="31">
        <v>500</v>
      </c>
      <c r="Q40" s="31">
        <v>200</v>
      </c>
      <c r="R40" s="31">
        <v>700</v>
      </c>
      <c r="S40" s="31">
        <v>300</v>
      </c>
      <c r="T40" s="31">
        <v>600</v>
      </c>
      <c r="U40" s="31">
        <v>500</v>
      </c>
      <c r="V40" s="31">
        <v>1200</v>
      </c>
      <c r="W40" s="32">
        <v>1335</v>
      </c>
      <c r="X40" s="30">
        <v>-301</v>
      </c>
      <c r="Y40" s="31">
        <v>578</v>
      </c>
      <c r="Z40" s="31">
        <v>536</v>
      </c>
      <c r="AA40" s="31">
        <v>97</v>
      </c>
      <c r="AB40" s="31">
        <v>-58</v>
      </c>
      <c r="AC40" s="31">
        <v>-124</v>
      </c>
      <c r="AD40" s="31">
        <v>7</v>
      </c>
      <c r="AE40" s="31">
        <v>-85</v>
      </c>
      <c r="AF40" s="31">
        <v>192</v>
      </c>
      <c r="AG40" s="32">
        <v>162</v>
      </c>
      <c r="AH40" s="30">
        <v>378</v>
      </c>
      <c r="AI40" s="31">
        <v>544</v>
      </c>
      <c r="AJ40" s="31">
        <v>654</v>
      </c>
      <c r="AK40" s="31">
        <v>746</v>
      </c>
      <c r="AL40" s="31">
        <v>700</v>
      </c>
      <c r="AM40" s="31">
        <v>701</v>
      </c>
      <c r="AN40" s="31">
        <v>867</v>
      </c>
      <c r="AO40" s="31">
        <v>933</v>
      </c>
      <c r="AP40" s="31">
        <v>534</v>
      </c>
      <c r="AQ40" s="32">
        <v>684</v>
      </c>
      <c r="AR40" s="87">
        <v>-78</v>
      </c>
      <c r="AS40" s="88">
        <v>140</v>
      </c>
      <c r="AT40" s="88">
        <v>318</v>
      </c>
      <c r="AU40" s="88">
        <v>607</v>
      </c>
      <c r="AV40" s="88">
        <v>838</v>
      </c>
      <c r="AW40" s="88">
        <v>219</v>
      </c>
      <c r="AX40" s="88">
        <v>530</v>
      </c>
      <c r="AY40" s="88">
        <v>309</v>
      </c>
      <c r="AZ40" s="88">
        <v>498</v>
      </c>
      <c r="BA40" s="89">
        <v>220</v>
      </c>
      <c r="BB40" s="30">
        <v>90</v>
      </c>
      <c r="BC40" s="31">
        <v>438</v>
      </c>
      <c r="BD40" s="31">
        <v>331</v>
      </c>
      <c r="BE40" s="67">
        <v>819</v>
      </c>
      <c r="BF40" s="88">
        <v>577</v>
      </c>
      <c r="BG40" s="88">
        <v>9</v>
      </c>
      <c r="BH40" s="88">
        <v>383</v>
      </c>
      <c r="BI40" s="88">
        <v>235</v>
      </c>
      <c r="BJ40" s="88">
        <v>454</v>
      </c>
      <c r="BK40" s="123">
        <v>467</v>
      </c>
      <c r="BL40" s="126">
        <v>-484</v>
      </c>
      <c r="BM40" s="5">
        <v>525</v>
      </c>
      <c r="BN40" s="5">
        <v>475</v>
      </c>
      <c r="BO40" s="5">
        <v>275</v>
      </c>
      <c r="BP40" s="5">
        <v>425</v>
      </c>
      <c r="BQ40" s="123">
        <f>Population!BQ40-Population!BP40</f>
        <v>300</v>
      </c>
    </row>
    <row r="41" spans="1:69" x14ac:dyDescent="0.2">
      <c r="A41" s="20" t="s">
        <v>73</v>
      </c>
      <c r="B41" s="21" t="s">
        <v>74</v>
      </c>
      <c r="C41" s="25" t="s">
        <v>2</v>
      </c>
      <c r="D41" s="30">
        <v>983</v>
      </c>
      <c r="E41" s="31">
        <v>1200</v>
      </c>
      <c r="F41" s="31">
        <v>300</v>
      </c>
      <c r="G41" s="31">
        <v>900</v>
      </c>
      <c r="H41" s="31">
        <v>1400</v>
      </c>
      <c r="I41" s="31">
        <v>1500</v>
      </c>
      <c r="J41" s="31">
        <v>2500</v>
      </c>
      <c r="K41" s="31">
        <v>2100</v>
      </c>
      <c r="L41" s="31">
        <v>800</v>
      </c>
      <c r="M41" s="32">
        <v>-17</v>
      </c>
      <c r="N41" s="30">
        <v>3017</v>
      </c>
      <c r="O41" s="31">
        <v>2300</v>
      </c>
      <c r="P41" s="31">
        <v>400</v>
      </c>
      <c r="Q41" s="31">
        <v>2000</v>
      </c>
      <c r="R41" s="31">
        <v>2000</v>
      </c>
      <c r="S41" s="31">
        <v>2900</v>
      </c>
      <c r="T41" s="31">
        <v>2400</v>
      </c>
      <c r="U41" s="31">
        <v>3500</v>
      </c>
      <c r="V41" s="31">
        <v>2900</v>
      </c>
      <c r="W41" s="32">
        <v>3301</v>
      </c>
      <c r="X41" s="30">
        <v>2678</v>
      </c>
      <c r="Y41" s="31">
        <v>1607</v>
      </c>
      <c r="Z41" s="31">
        <v>1049</v>
      </c>
      <c r="AA41" s="31">
        <v>1683</v>
      </c>
      <c r="AB41" s="31">
        <v>1765</v>
      </c>
      <c r="AC41" s="31">
        <v>720</v>
      </c>
      <c r="AD41" s="31">
        <v>1468</v>
      </c>
      <c r="AE41" s="31">
        <v>2208</v>
      </c>
      <c r="AF41" s="31">
        <v>3796</v>
      </c>
      <c r="AG41" s="32">
        <v>4105</v>
      </c>
      <c r="AH41" s="30">
        <v>4889</v>
      </c>
      <c r="AI41" s="31">
        <v>5122</v>
      </c>
      <c r="AJ41" s="31">
        <v>3479</v>
      </c>
      <c r="AK41" s="31">
        <v>4786</v>
      </c>
      <c r="AL41" s="31">
        <v>3886</v>
      </c>
      <c r="AM41" s="31">
        <v>4180</v>
      </c>
      <c r="AN41" s="31">
        <v>2949</v>
      </c>
      <c r="AO41" s="31">
        <v>3596</v>
      </c>
      <c r="AP41" s="31">
        <v>3107</v>
      </c>
      <c r="AQ41" s="32">
        <v>3052</v>
      </c>
      <c r="AR41" s="87">
        <v>4154</v>
      </c>
      <c r="AS41" s="88">
        <v>3258</v>
      </c>
      <c r="AT41" s="88">
        <v>1746</v>
      </c>
      <c r="AU41" s="88">
        <v>4261</v>
      </c>
      <c r="AV41" s="88">
        <v>4720</v>
      </c>
      <c r="AW41" s="88">
        <v>5123</v>
      </c>
      <c r="AX41" s="88">
        <v>5210</v>
      </c>
      <c r="AY41" s="88">
        <v>2377</v>
      </c>
      <c r="AZ41" s="88">
        <v>2061</v>
      </c>
      <c r="BA41" s="89">
        <v>1404</v>
      </c>
      <c r="BB41" s="30">
        <v>1137</v>
      </c>
      <c r="BC41" s="31">
        <v>1406</v>
      </c>
      <c r="BD41" s="31">
        <v>2338</v>
      </c>
      <c r="BE41" s="67">
        <v>1916</v>
      </c>
      <c r="BF41" s="88">
        <v>2179</v>
      </c>
      <c r="BG41" s="88">
        <v>2553</v>
      </c>
      <c r="BH41" s="88">
        <v>3444</v>
      </c>
      <c r="BI41" s="88">
        <v>3944</v>
      </c>
      <c r="BJ41" s="88">
        <v>3873</v>
      </c>
      <c r="BK41" s="123">
        <v>2917</v>
      </c>
      <c r="BL41" s="126">
        <v>-547</v>
      </c>
      <c r="BM41" s="5">
        <v>5350</v>
      </c>
      <c r="BN41" s="5">
        <v>4150</v>
      </c>
      <c r="BO41" s="5">
        <v>2200</v>
      </c>
      <c r="BP41" s="5">
        <v>2500</v>
      </c>
      <c r="BQ41" s="123">
        <f>Population!BQ41-Population!BP41</f>
        <v>1750</v>
      </c>
    </row>
    <row r="42" spans="1:69" x14ac:dyDescent="0.2">
      <c r="A42" s="20" t="s">
        <v>75</v>
      </c>
      <c r="B42" s="21" t="s">
        <v>76</v>
      </c>
      <c r="C42" s="25" t="s">
        <v>2</v>
      </c>
      <c r="D42" s="30">
        <v>637</v>
      </c>
      <c r="E42" s="31">
        <v>500</v>
      </c>
      <c r="F42" s="31">
        <v>600</v>
      </c>
      <c r="G42" s="31">
        <v>400</v>
      </c>
      <c r="H42" s="31">
        <v>600</v>
      </c>
      <c r="I42" s="31">
        <v>700</v>
      </c>
      <c r="J42" s="31">
        <v>1100</v>
      </c>
      <c r="K42" s="31">
        <v>1500</v>
      </c>
      <c r="L42" s="31">
        <v>-300</v>
      </c>
      <c r="M42" s="32">
        <v>900</v>
      </c>
      <c r="N42" s="30">
        <v>200</v>
      </c>
      <c r="O42" s="31">
        <v>100</v>
      </c>
      <c r="P42" s="31">
        <v>100</v>
      </c>
      <c r="Q42" s="31">
        <v>300</v>
      </c>
      <c r="R42" s="31">
        <v>300</v>
      </c>
      <c r="S42" s="31">
        <v>200</v>
      </c>
      <c r="T42" s="31">
        <v>200</v>
      </c>
      <c r="U42" s="31">
        <v>300</v>
      </c>
      <c r="V42" s="31">
        <v>200</v>
      </c>
      <c r="W42" s="32">
        <v>303</v>
      </c>
      <c r="X42" s="30">
        <v>730</v>
      </c>
      <c r="Y42" s="31">
        <v>-772</v>
      </c>
      <c r="Z42" s="31">
        <v>-231</v>
      </c>
      <c r="AA42" s="31">
        <v>-707</v>
      </c>
      <c r="AB42" s="31">
        <v>389</v>
      </c>
      <c r="AC42" s="31">
        <v>-731</v>
      </c>
      <c r="AD42" s="31">
        <v>-472</v>
      </c>
      <c r="AE42" s="31">
        <v>-287</v>
      </c>
      <c r="AF42" s="31">
        <v>245</v>
      </c>
      <c r="AG42" s="32">
        <v>508</v>
      </c>
      <c r="AH42" s="30">
        <v>-215</v>
      </c>
      <c r="AI42" s="31">
        <v>210</v>
      </c>
      <c r="AJ42" s="31">
        <v>139</v>
      </c>
      <c r="AK42" s="31">
        <v>155</v>
      </c>
      <c r="AL42" s="31">
        <v>387</v>
      </c>
      <c r="AM42" s="31">
        <v>139</v>
      </c>
      <c r="AN42" s="31">
        <v>564</v>
      </c>
      <c r="AO42" s="31">
        <v>456</v>
      </c>
      <c r="AP42" s="31">
        <v>232</v>
      </c>
      <c r="AQ42" s="32">
        <v>-102</v>
      </c>
      <c r="AR42" s="87">
        <v>-203</v>
      </c>
      <c r="AS42" s="88">
        <v>465</v>
      </c>
      <c r="AT42" s="88">
        <v>-48</v>
      </c>
      <c r="AU42" s="88">
        <v>732</v>
      </c>
      <c r="AV42" s="88">
        <v>812</v>
      </c>
      <c r="AW42" s="88">
        <v>350</v>
      </c>
      <c r="AX42" s="88">
        <v>-55</v>
      </c>
      <c r="AY42" s="88">
        <v>1273</v>
      </c>
      <c r="AZ42" s="88">
        <v>-61</v>
      </c>
      <c r="BA42" s="89">
        <v>771</v>
      </c>
      <c r="BB42" s="30">
        <v>-288</v>
      </c>
      <c r="BC42" s="31">
        <v>936</v>
      </c>
      <c r="BD42" s="31">
        <v>74</v>
      </c>
      <c r="BE42" s="67">
        <v>319</v>
      </c>
      <c r="BF42" s="88">
        <v>563</v>
      </c>
      <c r="BG42" s="88">
        <v>243</v>
      </c>
      <c r="BH42" s="88">
        <v>338</v>
      </c>
      <c r="BI42" s="88">
        <v>256</v>
      </c>
      <c r="BJ42" s="88">
        <v>654</v>
      </c>
      <c r="BK42" s="123">
        <v>102</v>
      </c>
      <c r="BL42" s="126">
        <v>-3373</v>
      </c>
      <c r="BM42" s="5">
        <v>3200</v>
      </c>
      <c r="BN42" s="5">
        <v>300</v>
      </c>
      <c r="BO42" s="5">
        <v>650</v>
      </c>
      <c r="BP42" s="5">
        <v>700</v>
      </c>
      <c r="BQ42" s="123">
        <f>Population!BQ42-Population!BP42</f>
        <v>-450</v>
      </c>
    </row>
    <row r="43" spans="1:69" x14ac:dyDescent="0.2">
      <c r="A43" s="20" t="s">
        <v>77</v>
      </c>
      <c r="B43" s="21" t="s">
        <v>78</v>
      </c>
      <c r="C43" s="25" t="s">
        <v>2</v>
      </c>
      <c r="D43" s="30">
        <v>-12</v>
      </c>
      <c r="E43" s="31">
        <v>-100</v>
      </c>
      <c r="F43" s="31">
        <v>-1200</v>
      </c>
      <c r="G43" s="31">
        <v>-600</v>
      </c>
      <c r="H43" s="31">
        <v>200</v>
      </c>
      <c r="I43" s="31">
        <v>0</v>
      </c>
      <c r="J43" s="31">
        <v>1200</v>
      </c>
      <c r="K43" s="31">
        <v>900</v>
      </c>
      <c r="L43" s="31">
        <v>-1800</v>
      </c>
      <c r="M43" s="32">
        <v>1512</v>
      </c>
      <c r="N43" s="30">
        <v>2188</v>
      </c>
      <c r="O43" s="31">
        <v>0</v>
      </c>
      <c r="P43" s="31">
        <v>900</v>
      </c>
      <c r="Q43" s="31">
        <v>3800</v>
      </c>
      <c r="R43" s="31">
        <v>3400</v>
      </c>
      <c r="S43" s="31">
        <v>2400</v>
      </c>
      <c r="T43" s="31">
        <v>3300</v>
      </c>
      <c r="U43" s="31">
        <v>4000</v>
      </c>
      <c r="V43" s="31">
        <v>2900</v>
      </c>
      <c r="W43" s="32">
        <v>4408</v>
      </c>
      <c r="X43" s="30">
        <v>1794</v>
      </c>
      <c r="Y43" s="31">
        <v>1804</v>
      </c>
      <c r="Z43" s="31">
        <v>2222</v>
      </c>
      <c r="AA43" s="31">
        <v>1766</v>
      </c>
      <c r="AB43" s="31">
        <v>1375</v>
      </c>
      <c r="AC43" s="31">
        <v>605</v>
      </c>
      <c r="AD43" s="31">
        <v>1324</v>
      </c>
      <c r="AE43" s="31">
        <v>1312</v>
      </c>
      <c r="AF43" s="31">
        <v>1477</v>
      </c>
      <c r="AG43" s="32">
        <v>2636</v>
      </c>
      <c r="AH43" s="30">
        <v>2667</v>
      </c>
      <c r="AI43" s="31">
        <v>3449</v>
      </c>
      <c r="AJ43" s="31">
        <v>3286</v>
      </c>
      <c r="AK43" s="31">
        <v>3819</v>
      </c>
      <c r="AL43" s="31">
        <v>4002</v>
      </c>
      <c r="AM43" s="31">
        <v>3335</v>
      </c>
      <c r="AN43" s="31">
        <v>2994</v>
      </c>
      <c r="AO43" s="31">
        <v>3212</v>
      </c>
      <c r="AP43" s="31">
        <v>3896</v>
      </c>
      <c r="AQ43" s="32">
        <v>3098</v>
      </c>
      <c r="AR43" s="87">
        <v>1648</v>
      </c>
      <c r="AS43" s="88">
        <v>561</v>
      </c>
      <c r="AT43" s="88">
        <v>3166</v>
      </c>
      <c r="AU43" s="88">
        <v>2046</v>
      </c>
      <c r="AV43" s="88">
        <v>1900</v>
      </c>
      <c r="AW43" s="88">
        <v>2506</v>
      </c>
      <c r="AX43" s="88">
        <v>2515</v>
      </c>
      <c r="AY43" s="88">
        <v>2601</v>
      </c>
      <c r="AZ43" s="88">
        <v>2184</v>
      </c>
      <c r="BA43" s="89">
        <v>1523</v>
      </c>
      <c r="BB43" s="30">
        <v>1322</v>
      </c>
      <c r="BC43" s="31">
        <v>1052</v>
      </c>
      <c r="BD43" s="31">
        <v>1220</v>
      </c>
      <c r="BE43" s="67">
        <v>1404</v>
      </c>
      <c r="BF43" s="88">
        <v>1085</v>
      </c>
      <c r="BG43" s="88">
        <v>1732</v>
      </c>
      <c r="BH43" s="88">
        <v>1646</v>
      </c>
      <c r="BI43" s="88">
        <v>1122</v>
      </c>
      <c r="BJ43" s="88">
        <v>956</v>
      </c>
      <c r="BK43" s="123">
        <v>1958</v>
      </c>
      <c r="BL43" s="126">
        <v>1372</v>
      </c>
      <c r="BM43" s="5">
        <v>1850</v>
      </c>
      <c r="BN43" s="5">
        <v>1250</v>
      </c>
      <c r="BO43" s="5">
        <v>2000</v>
      </c>
      <c r="BP43" s="5">
        <v>1450</v>
      </c>
      <c r="BQ43" s="123">
        <f>Population!BQ43-Population!BP43</f>
        <v>1125</v>
      </c>
    </row>
    <row r="44" spans="1:69" x14ac:dyDescent="0.2">
      <c r="A44" s="22" t="s">
        <v>79</v>
      </c>
      <c r="B44" s="23" t="s">
        <v>80</v>
      </c>
      <c r="C44" s="26" t="s">
        <v>2</v>
      </c>
      <c r="D44" s="33">
        <v>43786</v>
      </c>
      <c r="E44" s="34">
        <v>51000</v>
      </c>
      <c r="F44" s="34">
        <v>24000</v>
      </c>
      <c r="G44" s="34">
        <v>36000</v>
      </c>
      <c r="H44" s="34">
        <v>57000</v>
      </c>
      <c r="I44" s="34">
        <v>60000</v>
      </c>
      <c r="J44" s="34">
        <v>104000</v>
      </c>
      <c r="K44" s="34">
        <v>107000</v>
      </c>
      <c r="L44" s="34">
        <v>61000</v>
      </c>
      <c r="M44" s="35">
        <v>16250</v>
      </c>
      <c r="N44" s="33">
        <v>23050</v>
      </c>
      <c r="O44" s="34">
        <v>-6000</v>
      </c>
      <c r="P44" s="34">
        <v>14000</v>
      </c>
      <c r="Q44" s="34">
        <v>64400</v>
      </c>
      <c r="R44" s="34">
        <v>59190</v>
      </c>
      <c r="S44" s="34">
        <v>67001</v>
      </c>
      <c r="T44" s="34">
        <v>80484</v>
      </c>
      <c r="U44" s="34">
        <v>120825</v>
      </c>
      <c r="V44" s="34">
        <v>143000</v>
      </c>
      <c r="W44" s="35">
        <v>153153</v>
      </c>
      <c r="X44" s="33">
        <v>96928</v>
      </c>
      <c r="Y44" s="34">
        <v>47268</v>
      </c>
      <c r="Z44" s="34">
        <v>30699</v>
      </c>
      <c r="AA44" s="34">
        <v>46822</v>
      </c>
      <c r="AB44" s="34">
        <v>61715</v>
      </c>
      <c r="AC44" s="34">
        <v>46426</v>
      </c>
      <c r="AD44" s="34">
        <v>64890</v>
      </c>
      <c r="AE44" s="34">
        <v>89785</v>
      </c>
      <c r="AF44" s="34">
        <v>111190</v>
      </c>
      <c r="AG44" s="35">
        <v>138587</v>
      </c>
      <c r="AH44" s="33">
        <v>133690</v>
      </c>
      <c r="AI44" s="34">
        <v>90785</v>
      </c>
      <c r="AJ44" s="34">
        <v>96871</v>
      </c>
      <c r="AK44" s="34">
        <v>103568</v>
      </c>
      <c r="AL44" s="34">
        <v>104992</v>
      </c>
      <c r="AM44" s="34">
        <v>86534</v>
      </c>
      <c r="AN44" s="34">
        <v>96037</v>
      </c>
      <c r="AO44" s="34">
        <v>106319</v>
      </c>
      <c r="AP44" s="34">
        <v>106755</v>
      </c>
      <c r="AQ44" s="35">
        <v>101929</v>
      </c>
      <c r="AR44" s="90">
        <v>76309</v>
      </c>
      <c r="AS44" s="91">
        <v>89246</v>
      </c>
      <c r="AT44" s="91">
        <v>67219</v>
      </c>
      <c r="AU44" s="91">
        <v>81615</v>
      </c>
      <c r="AV44" s="91">
        <v>90265</v>
      </c>
      <c r="AW44" s="91">
        <v>121422</v>
      </c>
      <c r="AX44" s="91">
        <v>104902</v>
      </c>
      <c r="AY44" s="91">
        <v>83113</v>
      </c>
      <c r="AZ44" s="91">
        <v>64029</v>
      </c>
      <c r="BA44" s="92">
        <v>52277</v>
      </c>
      <c r="BB44" s="33">
        <v>53363</v>
      </c>
      <c r="BC44" s="34">
        <v>53757</v>
      </c>
      <c r="BD44" s="34">
        <v>74366</v>
      </c>
      <c r="BE44" s="68">
        <v>99183</v>
      </c>
      <c r="BF44" s="91">
        <v>101411</v>
      </c>
      <c r="BG44" s="91">
        <v>130599</v>
      </c>
      <c r="BH44" s="91">
        <v>106854</v>
      </c>
      <c r="BI44" s="91">
        <v>119406</v>
      </c>
      <c r="BJ44" s="91">
        <v>118339</v>
      </c>
      <c r="BK44" s="103">
        <v>124492</v>
      </c>
      <c r="BL44" s="101">
        <v>60665</v>
      </c>
      <c r="BM44" s="102">
        <v>97425</v>
      </c>
      <c r="BN44" s="102">
        <v>86750</v>
      </c>
      <c r="BO44" s="102">
        <v>84550</v>
      </c>
      <c r="BP44" s="102">
        <v>79400</v>
      </c>
      <c r="BQ44" s="103">
        <f>Population!BQ44-Population!BP44</f>
        <v>61200</v>
      </c>
    </row>
    <row r="45" spans="1:69" x14ac:dyDescent="0.2">
      <c r="BK45" s="5"/>
      <c r="BL45" s="5"/>
    </row>
    <row r="47" spans="1:69" x14ac:dyDescent="0.2">
      <c r="BK47" s="6" t="s">
        <v>2</v>
      </c>
    </row>
  </sheetData>
  <phoneticPr fontId="21" type="noConversion"/>
  <pageMargins left="0.5" right="0.5" top="0.5" bottom="0.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57"/>
  <sheetViews>
    <sheetView zoomScaleNormal="100"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3" style="3" bestFit="1" customWidth="1"/>
    <col min="2" max="2" width="20" style="3" bestFit="1" customWidth="1"/>
    <col min="3" max="3" width="10.6640625" style="4" customWidth="1"/>
    <col min="4" max="22" width="10.5" style="4" bestFit="1" customWidth="1"/>
    <col min="23" max="23" width="10.5" style="5" bestFit="1" customWidth="1"/>
    <col min="24" max="53" width="10.5" style="4" bestFit="1" customWidth="1"/>
    <col min="54" max="62" width="10.5" style="17" bestFit="1" customWidth="1"/>
    <col min="63" max="63" width="10.5" style="6" bestFit="1" customWidth="1"/>
    <col min="64" max="64" width="11.33203125" style="6" bestFit="1" customWidth="1"/>
    <col min="65" max="69" width="10.5" style="6" customWidth="1"/>
    <col min="70" max="16384" width="9.33203125" style="6"/>
  </cols>
  <sheetData>
    <row r="1" spans="1:69" s="9" customFormat="1" ht="12" x14ac:dyDescent="0.2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  <c r="BD1" s="74"/>
      <c r="BE1" s="74"/>
      <c r="BF1" s="74"/>
      <c r="BG1" s="74"/>
      <c r="BH1" s="74"/>
      <c r="BI1" s="74"/>
      <c r="BJ1" s="74"/>
      <c r="BK1" s="74"/>
      <c r="BL1" s="74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  <c r="BD2" s="74"/>
      <c r="BE2" s="74"/>
      <c r="BF2" s="74"/>
      <c r="BG2" s="74"/>
      <c r="BH2" s="74"/>
      <c r="BI2" s="74"/>
      <c r="BJ2" s="74"/>
      <c r="BK2" s="74"/>
      <c r="BL2" s="74"/>
    </row>
    <row r="4" spans="1:69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295</v>
      </c>
      <c r="E4" s="28" t="s">
        <v>296</v>
      </c>
      <c r="F4" s="28" t="s">
        <v>297</v>
      </c>
      <c r="G4" s="28" t="s">
        <v>298</v>
      </c>
      <c r="H4" s="28" t="s">
        <v>299</v>
      </c>
      <c r="I4" s="28" t="s">
        <v>300</v>
      </c>
      <c r="J4" s="28" t="s">
        <v>301</v>
      </c>
      <c r="K4" s="28" t="s">
        <v>302</v>
      </c>
      <c r="L4" s="37" t="s">
        <v>303</v>
      </c>
      <c r="M4" s="66" t="s">
        <v>304</v>
      </c>
      <c r="N4" s="27" t="s">
        <v>305</v>
      </c>
      <c r="O4" s="28" t="s">
        <v>306</v>
      </c>
      <c r="P4" s="28" t="s">
        <v>307</v>
      </c>
      <c r="Q4" s="28" t="s">
        <v>308</v>
      </c>
      <c r="R4" s="28" t="s">
        <v>309</v>
      </c>
      <c r="S4" s="28" t="s">
        <v>310</v>
      </c>
      <c r="T4" s="28" t="s">
        <v>311</v>
      </c>
      <c r="U4" s="28" t="s">
        <v>312</v>
      </c>
      <c r="V4" s="28" t="s">
        <v>313</v>
      </c>
      <c r="W4" s="37" t="s">
        <v>314</v>
      </c>
      <c r="X4" s="27" t="s">
        <v>315</v>
      </c>
      <c r="Y4" s="28" t="s">
        <v>316</v>
      </c>
      <c r="Z4" s="28" t="s">
        <v>317</v>
      </c>
      <c r="AA4" s="28" t="s">
        <v>318</v>
      </c>
      <c r="AB4" s="28" t="s">
        <v>319</v>
      </c>
      <c r="AC4" s="28" t="s">
        <v>320</v>
      </c>
      <c r="AD4" s="28" t="s">
        <v>321</v>
      </c>
      <c r="AE4" s="36" t="s">
        <v>322</v>
      </c>
      <c r="AF4" s="44" t="s">
        <v>323</v>
      </c>
      <c r="AG4" s="29" t="s">
        <v>324</v>
      </c>
      <c r="AH4" s="49" t="s">
        <v>325</v>
      </c>
      <c r="AI4" s="28" t="s">
        <v>326</v>
      </c>
      <c r="AJ4" s="28" t="s">
        <v>327</v>
      </c>
      <c r="AK4" s="28" t="s">
        <v>328</v>
      </c>
      <c r="AL4" s="28" t="s">
        <v>329</v>
      </c>
      <c r="AM4" s="28" t="s">
        <v>330</v>
      </c>
      <c r="AN4" s="28" t="s">
        <v>331</v>
      </c>
      <c r="AO4" s="28" t="s">
        <v>332</v>
      </c>
      <c r="AP4" s="28" t="s">
        <v>333</v>
      </c>
      <c r="AQ4" s="37" t="s">
        <v>334</v>
      </c>
      <c r="AR4" s="27" t="s">
        <v>335</v>
      </c>
      <c r="AS4" s="28" t="s">
        <v>336</v>
      </c>
      <c r="AT4" s="28" t="s">
        <v>337</v>
      </c>
      <c r="AU4" s="28" t="s">
        <v>338</v>
      </c>
      <c r="AV4" s="28" t="s">
        <v>339</v>
      </c>
      <c r="AW4" s="28" t="s">
        <v>340</v>
      </c>
      <c r="AX4" s="28" t="s">
        <v>341</v>
      </c>
      <c r="AY4" s="28" t="s">
        <v>342</v>
      </c>
      <c r="AZ4" s="28" t="s">
        <v>343</v>
      </c>
      <c r="BA4" s="37" t="s">
        <v>344</v>
      </c>
      <c r="BB4" s="75" t="s">
        <v>345</v>
      </c>
      <c r="BC4" s="76" t="s">
        <v>346</v>
      </c>
      <c r="BD4" s="76" t="s">
        <v>347</v>
      </c>
      <c r="BE4" s="77" t="s">
        <v>349</v>
      </c>
      <c r="BF4" s="78" t="s">
        <v>353</v>
      </c>
      <c r="BG4" s="78" t="s">
        <v>358</v>
      </c>
      <c r="BH4" s="78" t="s">
        <v>363</v>
      </c>
      <c r="BI4" s="78" t="s">
        <v>430</v>
      </c>
      <c r="BJ4" s="78" t="s">
        <v>435</v>
      </c>
      <c r="BK4" s="106" t="s">
        <v>440</v>
      </c>
      <c r="BL4" s="127" t="s">
        <v>542</v>
      </c>
      <c r="BM4" s="78" t="s">
        <v>462</v>
      </c>
      <c r="BN4" s="78" t="s">
        <v>468</v>
      </c>
      <c r="BO4" s="134" t="s">
        <v>546</v>
      </c>
      <c r="BP4" s="134" t="s">
        <v>553</v>
      </c>
      <c r="BQ4" s="106" t="s">
        <v>561</v>
      </c>
    </row>
    <row r="5" spans="1:69" x14ac:dyDescent="0.2">
      <c r="A5" s="20" t="s">
        <v>0</v>
      </c>
      <c r="B5" s="21" t="s">
        <v>1</v>
      </c>
      <c r="C5" s="25" t="s">
        <v>2</v>
      </c>
      <c r="D5" s="38">
        <v>1.72</v>
      </c>
      <c r="E5" s="39">
        <v>1.98</v>
      </c>
      <c r="F5" s="39">
        <v>-1.94</v>
      </c>
      <c r="G5" s="39">
        <v>0.99</v>
      </c>
      <c r="H5" s="39">
        <v>1.96</v>
      </c>
      <c r="I5" s="39">
        <v>1.92</v>
      </c>
      <c r="J5" s="39">
        <v>3.77</v>
      </c>
      <c r="K5" s="39">
        <v>0</v>
      </c>
      <c r="L5" s="40">
        <v>3.64</v>
      </c>
      <c r="M5" s="69">
        <v>5.39</v>
      </c>
      <c r="N5" s="38">
        <v>1.55</v>
      </c>
      <c r="O5" s="39">
        <v>3.28</v>
      </c>
      <c r="P5" s="39">
        <v>0.79</v>
      </c>
      <c r="Q5" s="39">
        <v>0</v>
      </c>
      <c r="R5" s="39">
        <v>3.15</v>
      </c>
      <c r="S5" s="39">
        <v>4.6500000000000004</v>
      </c>
      <c r="T5" s="39">
        <v>1.39</v>
      </c>
      <c r="U5" s="39">
        <v>0.72</v>
      </c>
      <c r="V5" s="39">
        <v>-1.43</v>
      </c>
      <c r="W5" s="40">
        <v>-3.86</v>
      </c>
      <c r="X5" s="38">
        <v>0.42</v>
      </c>
      <c r="Y5" s="39">
        <v>0.63</v>
      </c>
      <c r="Z5" s="39">
        <v>-0.22</v>
      </c>
      <c r="AA5" s="39">
        <v>0.08</v>
      </c>
      <c r="AB5" s="39">
        <v>0.22</v>
      </c>
      <c r="AC5" s="39">
        <v>0.09</v>
      </c>
      <c r="AD5" s="39">
        <v>0.28000000000000003</v>
      </c>
      <c r="AE5" s="45">
        <v>0.26</v>
      </c>
      <c r="AF5" s="46">
        <v>0.5</v>
      </c>
      <c r="AG5" s="52">
        <v>0.24</v>
      </c>
      <c r="AH5" s="50">
        <v>1.62</v>
      </c>
      <c r="AI5" s="39">
        <v>1.74</v>
      </c>
      <c r="AJ5" s="39">
        <v>1.93</v>
      </c>
      <c r="AK5" s="39">
        <v>2.4</v>
      </c>
      <c r="AL5" s="39">
        <v>2.39</v>
      </c>
      <c r="AM5" s="39">
        <v>1.95</v>
      </c>
      <c r="AN5" s="39">
        <v>2.4500000000000002</v>
      </c>
      <c r="AO5" s="39">
        <v>1.1499999999999999</v>
      </c>
      <c r="AP5" s="39">
        <v>1.71</v>
      </c>
      <c r="AQ5" s="40">
        <v>1.72</v>
      </c>
      <c r="AR5" s="38">
        <v>1.65</v>
      </c>
      <c r="AS5" s="39">
        <v>1.27</v>
      </c>
      <c r="AT5" s="39">
        <v>1.01</v>
      </c>
      <c r="AU5" s="39">
        <v>2.39</v>
      </c>
      <c r="AV5" s="39">
        <v>0.88</v>
      </c>
      <c r="AW5" s="39">
        <v>0.27</v>
      </c>
      <c r="AX5" s="39">
        <v>1.52</v>
      </c>
      <c r="AY5" s="39">
        <v>1.42</v>
      </c>
      <c r="AZ5" s="39">
        <v>1.1399999999999999</v>
      </c>
      <c r="BA5" s="40">
        <v>1.67</v>
      </c>
      <c r="BB5" s="79">
        <v>0.65</v>
      </c>
      <c r="BC5" s="80">
        <v>0.87</v>
      </c>
      <c r="BD5" s="80">
        <v>0.84</v>
      </c>
      <c r="BE5" s="81">
        <v>0.71</v>
      </c>
      <c r="BF5" s="82">
        <v>0.74</v>
      </c>
      <c r="BG5" s="82">
        <v>0.99</v>
      </c>
      <c r="BH5" s="82">
        <v>2.16</v>
      </c>
      <c r="BI5" s="82">
        <v>0.66</v>
      </c>
      <c r="BJ5" s="82">
        <v>0.67</v>
      </c>
      <c r="BK5" s="107">
        <v>1.37</v>
      </c>
      <c r="BL5" s="128">
        <v>1.39</v>
      </c>
      <c r="BM5" s="82">
        <v>0.96</v>
      </c>
      <c r="BN5" s="82">
        <v>0.47</v>
      </c>
      <c r="BO5" s="17">
        <v>1.3</v>
      </c>
      <c r="BP5" s="17">
        <v>0.35</v>
      </c>
      <c r="BQ5" s="107">
        <f>ROUND(('Annual Change'!BQ5/Population!BP5)*100,2)</f>
        <v>2.09</v>
      </c>
    </row>
    <row r="6" spans="1:69" x14ac:dyDescent="0.2">
      <c r="A6" s="20" t="s">
        <v>3</v>
      </c>
      <c r="B6" s="21" t="s">
        <v>4</v>
      </c>
      <c r="C6" s="25" t="s">
        <v>2</v>
      </c>
      <c r="D6" s="38">
        <v>-1.62</v>
      </c>
      <c r="E6" s="39">
        <v>2.36</v>
      </c>
      <c r="F6" s="39">
        <v>0.77</v>
      </c>
      <c r="G6" s="39">
        <v>-1.53</v>
      </c>
      <c r="H6" s="39">
        <v>0</v>
      </c>
      <c r="I6" s="39">
        <v>1.55</v>
      </c>
      <c r="J6" s="39">
        <v>3.82</v>
      </c>
      <c r="K6" s="39">
        <v>0</v>
      </c>
      <c r="L6" s="40">
        <v>-0.74</v>
      </c>
      <c r="M6" s="69">
        <v>2.21</v>
      </c>
      <c r="N6" s="38">
        <v>1.46</v>
      </c>
      <c r="O6" s="39">
        <v>3.57</v>
      </c>
      <c r="P6" s="39">
        <v>0</v>
      </c>
      <c r="Q6" s="39">
        <v>1.38</v>
      </c>
      <c r="R6" s="39">
        <v>0.68</v>
      </c>
      <c r="S6" s="39">
        <v>0.68</v>
      </c>
      <c r="T6" s="39">
        <v>4.03</v>
      </c>
      <c r="U6" s="39">
        <v>3.23</v>
      </c>
      <c r="V6" s="39">
        <v>2.5</v>
      </c>
      <c r="W6" s="40">
        <v>2.58</v>
      </c>
      <c r="X6" s="38">
        <v>-0.11</v>
      </c>
      <c r="Y6" s="39">
        <v>0.62</v>
      </c>
      <c r="Z6" s="39">
        <v>-0.41</v>
      </c>
      <c r="AA6" s="39">
        <v>1.04</v>
      </c>
      <c r="AB6" s="39">
        <v>0.82</v>
      </c>
      <c r="AC6" s="39">
        <v>-0.72</v>
      </c>
      <c r="AD6" s="39">
        <v>0.39</v>
      </c>
      <c r="AE6" s="45">
        <v>0.54</v>
      </c>
      <c r="AF6" s="46">
        <v>0.8</v>
      </c>
      <c r="AG6" s="52">
        <v>1.61</v>
      </c>
      <c r="AH6" s="50">
        <v>0.41</v>
      </c>
      <c r="AI6" s="39">
        <v>1.07</v>
      </c>
      <c r="AJ6" s="39">
        <v>1.44</v>
      </c>
      <c r="AK6" s="39">
        <v>2.99</v>
      </c>
      <c r="AL6" s="39">
        <v>1.45</v>
      </c>
      <c r="AM6" s="39">
        <v>3.62</v>
      </c>
      <c r="AN6" s="39">
        <v>1.64</v>
      </c>
      <c r="AO6" s="39">
        <v>1.3</v>
      </c>
      <c r="AP6" s="39">
        <v>1.19</v>
      </c>
      <c r="AQ6" s="40">
        <v>0.53</v>
      </c>
      <c r="AR6" s="38">
        <v>0.48</v>
      </c>
      <c r="AS6" s="39">
        <v>0.01</v>
      </c>
      <c r="AT6" s="39">
        <v>0.28000000000000003</v>
      </c>
      <c r="AU6" s="39">
        <v>0.34</v>
      </c>
      <c r="AV6" s="39">
        <v>0.77</v>
      </c>
      <c r="AW6" s="39">
        <v>1.1299999999999999</v>
      </c>
      <c r="AX6" s="39">
        <v>1.1200000000000001</v>
      </c>
      <c r="AY6" s="39">
        <v>0.51</v>
      </c>
      <c r="AZ6" s="39">
        <v>0.33</v>
      </c>
      <c r="BA6" s="40">
        <v>0.14000000000000001</v>
      </c>
      <c r="BB6" s="79">
        <v>0.2</v>
      </c>
      <c r="BC6" s="80">
        <v>0.06</v>
      </c>
      <c r="BD6" s="80">
        <v>0.21</v>
      </c>
      <c r="BE6" s="81">
        <v>0.3</v>
      </c>
      <c r="BF6" s="82">
        <v>0.45</v>
      </c>
      <c r="BG6" s="82">
        <v>0.52</v>
      </c>
      <c r="BH6" s="82">
        <v>0.2</v>
      </c>
      <c r="BI6" s="82">
        <v>0.28999999999999998</v>
      </c>
      <c r="BJ6" s="82">
        <v>0.32</v>
      </c>
      <c r="BK6" s="107">
        <v>0.46</v>
      </c>
      <c r="BL6" s="128">
        <v>0.96</v>
      </c>
      <c r="BM6" s="82">
        <v>0.44</v>
      </c>
      <c r="BN6" s="82">
        <v>0.22</v>
      </c>
      <c r="BO6" s="17">
        <v>0.33</v>
      </c>
      <c r="BP6" s="17">
        <v>0.11</v>
      </c>
      <c r="BQ6" s="107">
        <f>ROUND(('Annual Change'!BQ6/Population!BP6)*100,2)</f>
        <v>0.88</v>
      </c>
    </row>
    <row r="7" spans="1:69" x14ac:dyDescent="0.2">
      <c r="A7" s="20" t="s">
        <v>5</v>
      </c>
      <c r="B7" s="21" t="s">
        <v>6</v>
      </c>
      <c r="C7" s="25" t="s">
        <v>2</v>
      </c>
      <c r="D7" s="38">
        <v>0.37</v>
      </c>
      <c r="E7" s="39">
        <v>0.8</v>
      </c>
      <c r="F7" s="39">
        <v>-0.64</v>
      </c>
      <c r="G7" s="39">
        <v>-0.16</v>
      </c>
      <c r="H7" s="39">
        <v>0.32</v>
      </c>
      <c r="I7" s="39">
        <v>0.96</v>
      </c>
      <c r="J7" s="39">
        <v>1.9</v>
      </c>
      <c r="K7" s="39">
        <v>1.4</v>
      </c>
      <c r="L7" s="40">
        <v>1.23</v>
      </c>
      <c r="M7" s="69">
        <v>2.33</v>
      </c>
      <c r="N7" s="38">
        <v>-0.06</v>
      </c>
      <c r="O7" s="39">
        <v>0.3</v>
      </c>
      <c r="P7" s="39">
        <v>0.74</v>
      </c>
      <c r="Q7" s="39">
        <v>2.79</v>
      </c>
      <c r="R7" s="39">
        <v>6.28</v>
      </c>
      <c r="S7" s="39">
        <v>8.4600000000000009</v>
      </c>
      <c r="T7" s="39">
        <v>7.55</v>
      </c>
      <c r="U7" s="39">
        <v>8.52</v>
      </c>
      <c r="V7" s="39">
        <v>9.01</v>
      </c>
      <c r="W7" s="40">
        <v>6.46</v>
      </c>
      <c r="X7" s="38">
        <v>1.06</v>
      </c>
      <c r="Y7" s="39">
        <v>3.31</v>
      </c>
      <c r="Z7" s="39">
        <v>-1.06</v>
      </c>
      <c r="AA7" s="39">
        <v>-2.76</v>
      </c>
      <c r="AB7" s="39">
        <v>-1.35</v>
      </c>
      <c r="AC7" s="39">
        <v>0.36</v>
      </c>
      <c r="AD7" s="39">
        <v>0.73</v>
      </c>
      <c r="AE7" s="45">
        <v>0.7</v>
      </c>
      <c r="AF7" s="46">
        <v>0.86</v>
      </c>
      <c r="AG7" s="52">
        <v>1.08</v>
      </c>
      <c r="AH7" s="50">
        <v>1.67</v>
      </c>
      <c r="AI7" s="39">
        <v>1.8</v>
      </c>
      <c r="AJ7" s="39">
        <v>2.46</v>
      </c>
      <c r="AK7" s="39">
        <v>3.42</v>
      </c>
      <c r="AL7" s="39">
        <v>3.97</v>
      </c>
      <c r="AM7" s="39">
        <v>3.3</v>
      </c>
      <c r="AN7" s="39">
        <v>2.29</v>
      </c>
      <c r="AO7" s="39">
        <v>1.55</v>
      </c>
      <c r="AP7" s="39">
        <v>1.29</v>
      </c>
      <c r="AQ7" s="40">
        <v>2.13</v>
      </c>
      <c r="AR7" s="38">
        <v>1.96</v>
      </c>
      <c r="AS7" s="39">
        <v>2.08</v>
      </c>
      <c r="AT7" s="39">
        <v>2.46</v>
      </c>
      <c r="AU7" s="39">
        <v>2.59</v>
      </c>
      <c r="AV7" s="39">
        <v>2.19</v>
      </c>
      <c r="AW7" s="39">
        <v>1.86</v>
      </c>
      <c r="AX7" s="39">
        <v>1.75</v>
      </c>
      <c r="AY7" s="39">
        <v>1.52</v>
      </c>
      <c r="AZ7" s="39">
        <v>2.27</v>
      </c>
      <c r="BA7" s="40">
        <v>2.2000000000000002</v>
      </c>
      <c r="BB7" s="79">
        <v>1.43</v>
      </c>
      <c r="BC7" s="80">
        <v>1.37</v>
      </c>
      <c r="BD7" s="80">
        <v>1.88</v>
      </c>
      <c r="BE7" s="81">
        <v>1.88</v>
      </c>
      <c r="BF7" s="82">
        <v>1.37</v>
      </c>
      <c r="BG7" s="82">
        <v>1.06</v>
      </c>
      <c r="BH7" s="82">
        <v>1.67</v>
      </c>
      <c r="BI7" s="82">
        <v>2.06</v>
      </c>
      <c r="BJ7" s="82">
        <v>2.06</v>
      </c>
      <c r="BK7" s="107">
        <v>2</v>
      </c>
      <c r="BL7" s="128">
        <v>1.22</v>
      </c>
      <c r="BM7" s="82">
        <v>1.38</v>
      </c>
      <c r="BN7" s="82">
        <v>1.51</v>
      </c>
      <c r="BO7" s="17">
        <v>1.0900000000000001</v>
      </c>
      <c r="BP7" s="17">
        <v>0.81</v>
      </c>
      <c r="BQ7" s="107">
        <f>ROUND(('Annual Change'!BQ7/Population!BP7)*100,2)</f>
        <v>1.63</v>
      </c>
    </row>
    <row r="8" spans="1:69" x14ac:dyDescent="0.2">
      <c r="A8" s="20" t="s">
        <v>7</v>
      </c>
      <c r="B8" s="21" t="s">
        <v>8</v>
      </c>
      <c r="C8" s="25" t="s">
        <v>2</v>
      </c>
      <c r="D8" s="38">
        <v>-0.35</v>
      </c>
      <c r="E8" s="39">
        <v>0.25</v>
      </c>
      <c r="F8" s="39">
        <v>-1.47</v>
      </c>
      <c r="G8" s="39">
        <v>-0.25</v>
      </c>
      <c r="H8" s="39">
        <v>-0.5</v>
      </c>
      <c r="I8" s="39">
        <v>-0.25</v>
      </c>
      <c r="J8" s="39">
        <v>1.76</v>
      </c>
      <c r="K8" s="39">
        <v>0.5</v>
      </c>
      <c r="L8" s="40">
        <v>-0.74</v>
      </c>
      <c r="M8" s="69">
        <v>1.99</v>
      </c>
      <c r="N8" s="38">
        <v>-0.25</v>
      </c>
      <c r="O8" s="39">
        <v>-5.12</v>
      </c>
      <c r="P8" s="39">
        <v>0.26</v>
      </c>
      <c r="Q8" s="39">
        <v>1.79</v>
      </c>
      <c r="R8" s="39">
        <v>1.26</v>
      </c>
      <c r="S8" s="39">
        <v>1.24</v>
      </c>
      <c r="T8" s="39">
        <v>1.72</v>
      </c>
      <c r="U8" s="39">
        <v>2.9</v>
      </c>
      <c r="V8" s="39">
        <v>2.82</v>
      </c>
      <c r="W8" s="40">
        <v>2.88</v>
      </c>
      <c r="X8" s="38">
        <v>2.19</v>
      </c>
      <c r="Y8" s="39">
        <v>-0.28999999999999998</v>
      </c>
      <c r="Z8" s="39">
        <v>3.35</v>
      </c>
      <c r="AA8" s="39">
        <v>2.46</v>
      </c>
      <c r="AB8" s="39">
        <v>1.3</v>
      </c>
      <c r="AC8" s="39">
        <v>0.25</v>
      </c>
      <c r="AD8" s="39">
        <v>0.28999999999999998</v>
      </c>
      <c r="AE8" s="45">
        <v>2.15</v>
      </c>
      <c r="AF8" s="46">
        <v>0.98</v>
      </c>
      <c r="AG8" s="52">
        <v>2.2999999999999998</v>
      </c>
      <c r="AH8" s="50">
        <v>2.27</v>
      </c>
      <c r="AI8" s="39">
        <v>2.86</v>
      </c>
      <c r="AJ8" s="39">
        <v>2.65</v>
      </c>
      <c r="AK8" s="39">
        <v>3.36</v>
      </c>
      <c r="AL8" s="39">
        <v>3.02</v>
      </c>
      <c r="AM8" s="39">
        <v>1.93</v>
      </c>
      <c r="AN8" s="39">
        <v>2.7</v>
      </c>
      <c r="AO8" s="39">
        <v>2.0699999999999998</v>
      </c>
      <c r="AP8" s="39">
        <v>2.14</v>
      </c>
      <c r="AQ8" s="40">
        <v>1.59</v>
      </c>
      <c r="AR8" s="38">
        <v>0.42</v>
      </c>
      <c r="AS8" s="39">
        <v>0.75</v>
      </c>
      <c r="AT8" s="39">
        <v>0.16</v>
      </c>
      <c r="AU8" s="39">
        <v>0.75</v>
      </c>
      <c r="AV8" s="39">
        <v>1.4</v>
      </c>
      <c r="AW8" s="39">
        <v>1.35</v>
      </c>
      <c r="AX8" s="39">
        <v>1.26</v>
      </c>
      <c r="AY8" s="39">
        <v>1.45</v>
      </c>
      <c r="AZ8" s="39">
        <v>0.54</v>
      </c>
      <c r="BA8" s="40">
        <v>0.37</v>
      </c>
      <c r="BB8" s="79">
        <v>0.52</v>
      </c>
      <c r="BC8" s="80">
        <v>0.46</v>
      </c>
      <c r="BD8" s="80">
        <v>0.31</v>
      </c>
      <c r="BE8" s="81">
        <v>1.38</v>
      </c>
      <c r="BF8" s="82">
        <v>0.63</v>
      </c>
      <c r="BG8" s="82">
        <v>0.84</v>
      </c>
      <c r="BH8" s="82">
        <v>1.1100000000000001</v>
      </c>
      <c r="BI8" s="82">
        <v>1.48</v>
      </c>
      <c r="BJ8" s="82">
        <v>0.62</v>
      </c>
      <c r="BK8" s="107">
        <v>1.54</v>
      </c>
      <c r="BL8" s="128">
        <v>1.0900000000000001</v>
      </c>
      <c r="BM8" s="82">
        <v>0.81</v>
      </c>
      <c r="BN8" s="82">
        <v>1.05</v>
      </c>
      <c r="BO8" s="17">
        <v>0.98</v>
      </c>
      <c r="BP8" s="17">
        <v>0.73</v>
      </c>
      <c r="BQ8" s="107">
        <f>ROUND(('Annual Change'!BQ8/Population!BP8)*100,2)</f>
        <v>0.75</v>
      </c>
    </row>
    <row r="9" spans="1:69" x14ac:dyDescent="0.2">
      <c r="A9" s="20" t="s">
        <v>9</v>
      </c>
      <c r="B9" s="21" t="s">
        <v>10</v>
      </c>
      <c r="C9" s="25" t="s">
        <v>2</v>
      </c>
      <c r="D9" s="38">
        <v>1.26</v>
      </c>
      <c r="E9" s="39">
        <v>1.97</v>
      </c>
      <c r="F9" s="39">
        <v>-0.32</v>
      </c>
      <c r="G9" s="39">
        <v>1.29</v>
      </c>
      <c r="H9" s="39">
        <v>1.92</v>
      </c>
      <c r="I9" s="39">
        <v>1.88</v>
      </c>
      <c r="J9" s="39">
        <v>3.38</v>
      </c>
      <c r="K9" s="39">
        <v>2.08</v>
      </c>
      <c r="L9" s="40">
        <v>0.87</v>
      </c>
      <c r="M9" s="69">
        <v>0.49</v>
      </c>
      <c r="N9" s="38">
        <v>2.67</v>
      </c>
      <c r="O9" s="39">
        <v>1.68</v>
      </c>
      <c r="P9" s="39">
        <v>3.86</v>
      </c>
      <c r="Q9" s="39">
        <v>4.24</v>
      </c>
      <c r="R9" s="39">
        <v>4.58</v>
      </c>
      <c r="S9" s="39">
        <v>4.87</v>
      </c>
      <c r="T9" s="39">
        <v>2.09</v>
      </c>
      <c r="U9" s="39">
        <v>5.23</v>
      </c>
      <c r="V9" s="39">
        <v>6.48</v>
      </c>
      <c r="W9" s="40">
        <v>4.76</v>
      </c>
      <c r="X9" s="38">
        <v>0.47</v>
      </c>
      <c r="Y9" s="39">
        <v>-0.78</v>
      </c>
      <c r="Z9" s="39">
        <v>1.1100000000000001</v>
      </c>
      <c r="AA9" s="39">
        <v>0.95</v>
      </c>
      <c r="AB9" s="39">
        <v>-0.16</v>
      </c>
      <c r="AC9" s="39">
        <v>0.71</v>
      </c>
      <c r="AD9" s="39">
        <v>-0.08</v>
      </c>
      <c r="AE9" s="45">
        <v>3.03</v>
      </c>
      <c r="AF9" s="46">
        <v>1.58</v>
      </c>
      <c r="AG9" s="52">
        <v>1.71</v>
      </c>
      <c r="AH9" s="50">
        <v>2.5299999999999998</v>
      </c>
      <c r="AI9" s="39">
        <v>1.1299999999999999</v>
      </c>
      <c r="AJ9" s="39">
        <v>1.51</v>
      </c>
      <c r="AK9" s="39">
        <v>1.29</v>
      </c>
      <c r="AL9" s="39">
        <v>1.05</v>
      </c>
      <c r="AM9" s="39">
        <v>1.52</v>
      </c>
      <c r="AN9" s="39">
        <v>0.92</v>
      </c>
      <c r="AO9" s="39">
        <v>1.44</v>
      </c>
      <c r="AP9" s="39">
        <v>0.78</v>
      </c>
      <c r="AQ9" s="40">
        <v>1.19</v>
      </c>
      <c r="AR9" s="38">
        <v>0.84</v>
      </c>
      <c r="AS9" s="39">
        <v>1.05</v>
      </c>
      <c r="AT9" s="39">
        <v>0.81</v>
      </c>
      <c r="AU9" s="39">
        <v>1.21</v>
      </c>
      <c r="AV9" s="39">
        <v>1.42</v>
      </c>
      <c r="AW9" s="39">
        <v>1.89</v>
      </c>
      <c r="AX9" s="39">
        <v>1.3</v>
      </c>
      <c r="AY9" s="39">
        <v>1.1200000000000001</v>
      </c>
      <c r="AZ9" s="39">
        <v>0.56000000000000005</v>
      </c>
      <c r="BA9" s="40">
        <v>0.53</v>
      </c>
      <c r="BB9" s="79">
        <v>0.56999999999999995</v>
      </c>
      <c r="BC9" s="80">
        <v>0.8</v>
      </c>
      <c r="BD9" s="80">
        <v>0.54</v>
      </c>
      <c r="BE9" s="81">
        <v>0.46</v>
      </c>
      <c r="BF9" s="82">
        <v>0.52</v>
      </c>
      <c r="BG9" s="82">
        <v>0.92</v>
      </c>
      <c r="BH9" s="82">
        <v>0.96</v>
      </c>
      <c r="BI9" s="82">
        <v>0.85</v>
      </c>
      <c r="BJ9" s="82">
        <v>1.23</v>
      </c>
      <c r="BK9" s="107">
        <v>0.94</v>
      </c>
      <c r="BL9" s="128">
        <v>0.77</v>
      </c>
      <c r="BM9" s="82">
        <v>-0.16</v>
      </c>
      <c r="BN9" s="82">
        <v>0.57999999999999996</v>
      </c>
      <c r="BO9" s="17">
        <v>0.61</v>
      </c>
      <c r="BP9" s="17">
        <v>0.13</v>
      </c>
      <c r="BQ9" s="107">
        <f>ROUND(('Annual Change'!BQ9/Population!BP9)*100,2)</f>
        <v>0.76</v>
      </c>
    </row>
    <row r="10" spans="1:69" x14ac:dyDescent="0.2">
      <c r="A10" s="20" t="s">
        <v>11</v>
      </c>
      <c r="B10" s="21" t="s">
        <v>12</v>
      </c>
      <c r="C10" s="25" t="s">
        <v>2</v>
      </c>
      <c r="D10" s="38">
        <v>3.19</v>
      </c>
      <c r="E10" s="39">
        <v>3.2</v>
      </c>
      <c r="F10" s="39">
        <v>2.2999999999999998</v>
      </c>
      <c r="G10" s="39">
        <v>2.74</v>
      </c>
      <c r="H10" s="39">
        <v>3.33</v>
      </c>
      <c r="I10" s="39">
        <v>3.13</v>
      </c>
      <c r="J10" s="39">
        <v>4.74</v>
      </c>
      <c r="K10" s="39">
        <v>4.5199999999999996</v>
      </c>
      <c r="L10" s="40">
        <v>5.31</v>
      </c>
      <c r="M10" s="69">
        <v>-0.42</v>
      </c>
      <c r="N10" s="38">
        <v>3.85</v>
      </c>
      <c r="O10" s="39">
        <v>5.85</v>
      </c>
      <c r="P10" s="39">
        <v>2.83</v>
      </c>
      <c r="Q10" s="39">
        <v>4.41</v>
      </c>
      <c r="R10" s="39">
        <v>3.43</v>
      </c>
      <c r="S10" s="39">
        <v>2.68</v>
      </c>
      <c r="T10" s="39">
        <v>4.5999999999999996</v>
      </c>
      <c r="U10" s="39">
        <v>3.62</v>
      </c>
      <c r="V10" s="39">
        <v>5.16</v>
      </c>
      <c r="W10" s="40">
        <v>4.76</v>
      </c>
      <c r="X10" s="38">
        <v>2.21</v>
      </c>
      <c r="Y10" s="39">
        <v>1.63</v>
      </c>
      <c r="Z10" s="39">
        <v>1.24</v>
      </c>
      <c r="AA10" s="39">
        <v>0.79</v>
      </c>
      <c r="AB10" s="39">
        <v>1.47</v>
      </c>
      <c r="AC10" s="39">
        <v>1.78</v>
      </c>
      <c r="AD10" s="39">
        <v>1.68</v>
      </c>
      <c r="AE10" s="45">
        <v>2.38</v>
      </c>
      <c r="AF10" s="46">
        <v>3.26</v>
      </c>
      <c r="AG10" s="52">
        <v>5.25</v>
      </c>
      <c r="AH10" s="50">
        <v>4.3499999999999996</v>
      </c>
      <c r="AI10" s="39">
        <v>3.02</v>
      </c>
      <c r="AJ10" s="39">
        <v>3.37</v>
      </c>
      <c r="AK10" s="39">
        <v>3.73</v>
      </c>
      <c r="AL10" s="39">
        <v>4.51</v>
      </c>
      <c r="AM10" s="39">
        <v>4.03</v>
      </c>
      <c r="AN10" s="39">
        <v>4.07</v>
      </c>
      <c r="AO10" s="39">
        <v>4.3099999999999996</v>
      </c>
      <c r="AP10" s="39">
        <v>3.32</v>
      </c>
      <c r="AQ10" s="40">
        <v>3.17</v>
      </c>
      <c r="AR10" s="38">
        <v>2.17</v>
      </c>
      <c r="AS10" s="39">
        <v>3.44</v>
      </c>
      <c r="AT10" s="39">
        <v>2.5299999999999998</v>
      </c>
      <c r="AU10" s="39">
        <v>3.02</v>
      </c>
      <c r="AV10" s="39">
        <v>2.4</v>
      </c>
      <c r="AW10" s="39">
        <v>2.57</v>
      </c>
      <c r="AX10" s="39">
        <v>1.97</v>
      </c>
      <c r="AY10" s="39">
        <v>1.55</v>
      </c>
      <c r="AZ10" s="39">
        <v>1.1200000000000001</v>
      </c>
      <c r="BA10" s="40">
        <v>0.37</v>
      </c>
      <c r="BB10" s="79">
        <v>0.77</v>
      </c>
      <c r="BC10" s="80">
        <v>0.86</v>
      </c>
      <c r="BD10" s="80">
        <v>1.0900000000000001</v>
      </c>
      <c r="BE10" s="81">
        <v>1.7</v>
      </c>
      <c r="BF10" s="82">
        <v>1.82</v>
      </c>
      <c r="BG10" s="82">
        <v>2.06</v>
      </c>
      <c r="BH10" s="82">
        <v>2.2999999999999998</v>
      </c>
      <c r="BI10" s="82">
        <v>1.79</v>
      </c>
      <c r="BJ10" s="82">
        <v>2.0299999999999998</v>
      </c>
      <c r="BK10" s="107">
        <v>2.57</v>
      </c>
      <c r="BL10" s="128">
        <v>1.94</v>
      </c>
      <c r="BM10" s="82">
        <v>1.52</v>
      </c>
      <c r="BN10" s="82">
        <v>1.25</v>
      </c>
      <c r="BO10" s="17">
        <v>1.69</v>
      </c>
      <c r="BP10" s="17">
        <v>1.1399999999999999</v>
      </c>
      <c r="BQ10" s="107">
        <f>ROUND(('Annual Change'!BQ10/Population!BP10)*100,2)</f>
        <v>1.4</v>
      </c>
    </row>
    <row r="11" spans="1:69" x14ac:dyDescent="0.2">
      <c r="A11" s="20" t="s">
        <v>13</v>
      </c>
      <c r="B11" s="21" t="s">
        <v>14</v>
      </c>
      <c r="C11" s="25" t="s">
        <v>2</v>
      </c>
      <c r="D11" s="38">
        <v>0.68</v>
      </c>
      <c r="E11" s="39">
        <v>-4.3499999999999996</v>
      </c>
      <c r="F11" s="39">
        <v>2.27</v>
      </c>
      <c r="G11" s="39">
        <v>0</v>
      </c>
      <c r="H11" s="39">
        <v>-4.4400000000000004</v>
      </c>
      <c r="I11" s="39">
        <v>2.33</v>
      </c>
      <c r="J11" s="39">
        <v>2.27</v>
      </c>
      <c r="K11" s="39">
        <v>4.4400000000000004</v>
      </c>
      <c r="L11" s="40">
        <v>-4.26</v>
      </c>
      <c r="M11" s="69">
        <v>-1.36</v>
      </c>
      <c r="N11" s="38">
        <v>-0.88</v>
      </c>
      <c r="O11" s="39">
        <v>0</v>
      </c>
      <c r="P11" s="39">
        <v>-2.27</v>
      </c>
      <c r="Q11" s="39">
        <v>0</v>
      </c>
      <c r="R11" s="39">
        <v>-2.33</v>
      </c>
      <c r="S11" s="39">
        <v>0</v>
      </c>
      <c r="T11" s="39">
        <v>-2.38</v>
      </c>
      <c r="U11" s="39">
        <v>0</v>
      </c>
      <c r="V11" s="39">
        <v>0</v>
      </c>
      <c r="W11" s="40">
        <v>-1.05</v>
      </c>
      <c r="X11" s="38">
        <v>0.17</v>
      </c>
      <c r="Y11" s="39">
        <v>-0.1</v>
      </c>
      <c r="Z11" s="39">
        <v>-0.37</v>
      </c>
      <c r="AA11" s="39">
        <v>0</v>
      </c>
      <c r="AB11" s="39">
        <v>0.02</v>
      </c>
      <c r="AC11" s="39">
        <v>-0.05</v>
      </c>
      <c r="AD11" s="39">
        <v>-0.1</v>
      </c>
      <c r="AE11" s="45">
        <v>0.12</v>
      </c>
      <c r="AF11" s="46">
        <v>0.2</v>
      </c>
      <c r="AG11" s="52">
        <v>-0.72</v>
      </c>
      <c r="AH11" s="50">
        <v>0.5</v>
      </c>
      <c r="AI11" s="39">
        <v>-7.0000000000000007E-2</v>
      </c>
      <c r="AJ11" s="39">
        <v>0.15</v>
      </c>
      <c r="AK11" s="39">
        <v>0.15</v>
      </c>
      <c r="AL11" s="39">
        <v>-0.05</v>
      </c>
      <c r="AM11" s="39">
        <v>0</v>
      </c>
      <c r="AN11" s="39">
        <v>0.12</v>
      </c>
      <c r="AO11" s="39">
        <v>0.05</v>
      </c>
      <c r="AP11" s="39">
        <v>0.1</v>
      </c>
      <c r="AQ11" s="40">
        <v>0.05</v>
      </c>
      <c r="AR11" s="38">
        <v>1.23</v>
      </c>
      <c r="AS11" s="39">
        <v>0.02</v>
      </c>
      <c r="AT11" s="39">
        <v>-0.1</v>
      </c>
      <c r="AU11" s="39">
        <v>0.27</v>
      </c>
      <c r="AV11" s="39">
        <v>0.32</v>
      </c>
      <c r="AW11" s="39">
        <v>-0.17</v>
      </c>
      <c r="AX11" s="39">
        <v>-0.8</v>
      </c>
      <c r="AY11" s="39">
        <v>0.1</v>
      </c>
      <c r="AZ11" s="39">
        <v>-0.05</v>
      </c>
      <c r="BA11" s="40">
        <v>-0.46</v>
      </c>
      <c r="BB11" s="79">
        <v>-0.22</v>
      </c>
      <c r="BC11" s="80">
        <v>-0.74</v>
      </c>
      <c r="BD11" s="80">
        <v>-0.05</v>
      </c>
      <c r="BE11" s="81">
        <v>-0.84</v>
      </c>
      <c r="BF11" s="82">
        <v>0.1</v>
      </c>
      <c r="BG11" s="82">
        <v>-0.42</v>
      </c>
      <c r="BH11" s="82">
        <v>-0.28000000000000003</v>
      </c>
      <c r="BI11" s="82">
        <v>-0.23</v>
      </c>
      <c r="BJ11" s="82">
        <v>-0.2</v>
      </c>
      <c r="BK11" s="107">
        <v>-0.25</v>
      </c>
      <c r="BL11" s="128">
        <v>-0.05</v>
      </c>
      <c r="BM11" s="82">
        <v>0</v>
      </c>
      <c r="BN11" s="82">
        <v>0</v>
      </c>
      <c r="BO11" s="17">
        <v>0.63</v>
      </c>
      <c r="BP11" s="17">
        <v>-0.63</v>
      </c>
      <c r="BQ11" s="107">
        <f>ROUND(('Annual Change'!BQ11/Population!BP11)*100,2)</f>
        <v>-0.63</v>
      </c>
    </row>
    <row r="12" spans="1:69" x14ac:dyDescent="0.2">
      <c r="A12" s="20" t="s">
        <v>15</v>
      </c>
      <c r="B12" s="21" t="s">
        <v>16</v>
      </c>
      <c r="C12" s="25" t="s">
        <v>2</v>
      </c>
      <c r="D12" s="38">
        <v>1.73</v>
      </c>
      <c r="E12" s="39">
        <v>1.7</v>
      </c>
      <c r="F12" s="39">
        <v>1.34</v>
      </c>
      <c r="G12" s="39">
        <v>1.32</v>
      </c>
      <c r="H12" s="39">
        <v>1.79</v>
      </c>
      <c r="I12" s="39">
        <v>2.08</v>
      </c>
      <c r="J12" s="39">
        <v>3.29</v>
      </c>
      <c r="K12" s="39">
        <v>3.49</v>
      </c>
      <c r="L12" s="40">
        <v>1.17</v>
      </c>
      <c r="M12" s="69">
        <v>-0.56000000000000005</v>
      </c>
      <c r="N12" s="38">
        <v>1.29</v>
      </c>
      <c r="O12" s="39">
        <v>-0.43</v>
      </c>
      <c r="P12" s="39">
        <v>0.87</v>
      </c>
      <c r="Q12" s="39">
        <v>1.58</v>
      </c>
      <c r="R12" s="39">
        <v>1.69</v>
      </c>
      <c r="S12" s="39">
        <v>0.42</v>
      </c>
      <c r="T12" s="39">
        <v>1.8</v>
      </c>
      <c r="U12" s="39">
        <v>2.71</v>
      </c>
      <c r="V12" s="39">
        <v>3.04</v>
      </c>
      <c r="W12" s="40">
        <v>1.98</v>
      </c>
      <c r="X12" s="38">
        <v>0.08</v>
      </c>
      <c r="Y12" s="39">
        <v>-0.77</v>
      </c>
      <c r="Z12" s="39">
        <v>0.42</v>
      </c>
      <c r="AA12" s="39">
        <v>0.2</v>
      </c>
      <c r="AB12" s="39">
        <v>-0.28999999999999998</v>
      </c>
      <c r="AC12" s="39">
        <v>-1.01</v>
      </c>
      <c r="AD12" s="39">
        <v>0.6</v>
      </c>
      <c r="AE12" s="45">
        <v>0.6</v>
      </c>
      <c r="AF12" s="46">
        <v>1.85</v>
      </c>
      <c r="AG12" s="52">
        <v>1.55</v>
      </c>
      <c r="AH12" s="50">
        <v>0.9</v>
      </c>
      <c r="AI12" s="39">
        <v>1.1299999999999999</v>
      </c>
      <c r="AJ12" s="39">
        <v>1.21</v>
      </c>
      <c r="AK12" s="39">
        <v>1.31</v>
      </c>
      <c r="AL12" s="39">
        <v>1.53</v>
      </c>
      <c r="AM12" s="39">
        <v>1.49</v>
      </c>
      <c r="AN12" s="39">
        <v>1.17</v>
      </c>
      <c r="AO12" s="39">
        <v>1.1499999999999999</v>
      </c>
      <c r="AP12" s="39">
        <v>1.26</v>
      </c>
      <c r="AQ12" s="40">
        <v>1.31</v>
      </c>
      <c r="AR12" s="38">
        <v>1.22</v>
      </c>
      <c r="AS12" s="39">
        <v>0.82</v>
      </c>
      <c r="AT12" s="39">
        <v>1.05</v>
      </c>
      <c r="AU12" s="39">
        <v>0.78</v>
      </c>
      <c r="AV12" s="39">
        <v>1.1200000000000001</v>
      </c>
      <c r="AW12" s="39">
        <v>1.46</v>
      </c>
      <c r="AX12" s="39">
        <v>1.29</v>
      </c>
      <c r="AY12" s="39">
        <v>1.1599999999999999</v>
      </c>
      <c r="AZ12" s="39">
        <v>0.62</v>
      </c>
      <c r="BA12" s="40">
        <v>0.23</v>
      </c>
      <c r="BB12" s="79">
        <v>0.31</v>
      </c>
      <c r="BC12" s="80">
        <v>0.36</v>
      </c>
      <c r="BD12" s="80">
        <v>0.36</v>
      </c>
      <c r="BE12" s="81">
        <v>0.55000000000000004</v>
      </c>
      <c r="BF12" s="82">
        <v>0.63</v>
      </c>
      <c r="BG12" s="82">
        <v>0.68</v>
      </c>
      <c r="BH12" s="82">
        <v>1</v>
      </c>
      <c r="BI12" s="82">
        <v>1.23</v>
      </c>
      <c r="BJ12" s="82">
        <v>1.42</v>
      </c>
      <c r="BK12" s="107">
        <v>1.29</v>
      </c>
      <c r="BL12" s="128">
        <v>0.7</v>
      </c>
      <c r="BM12" s="82">
        <v>0.76</v>
      </c>
      <c r="BN12" s="82">
        <v>0.57999999999999996</v>
      </c>
      <c r="BO12" s="17">
        <v>0.8</v>
      </c>
      <c r="BP12" s="17">
        <v>0.53</v>
      </c>
      <c r="BQ12" s="107">
        <f>ROUND(('Annual Change'!BQ12/Population!BP12)*100,2)</f>
        <v>0.35</v>
      </c>
    </row>
    <row r="13" spans="1:69" x14ac:dyDescent="0.2">
      <c r="A13" s="20" t="s">
        <v>17</v>
      </c>
      <c r="B13" s="21" t="s">
        <v>18</v>
      </c>
      <c r="C13" s="25" t="s">
        <v>2</v>
      </c>
      <c r="D13" s="38">
        <v>1.41</v>
      </c>
      <c r="E13" s="39">
        <v>-0.66</v>
      </c>
      <c r="F13" s="39">
        <v>1.33</v>
      </c>
      <c r="G13" s="39">
        <v>0.66</v>
      </c>
      <c r="H13" s="39">
        <v>0</v>
      </c>
      <c r="I13" s="39">
        <v>1.96</v>
      </c>
      <c r="J13" s="39">
        <v>3.21</v>
      </c>
      <c r="K13" s="39">
        <v>3.11</v>
      </c>
      <c r="L13" s="40">
        <v>0</v>
      </c>
      <c r="M13" s="69">
        <v>1.1299999999999999</v>
      </c>
      <c r="N13" s="38">
        <v>4.84</v>
      </c>
      <c r="O13" s="39">
        <v>0</v>
      </c>
      <c r="P13" s="39">
        <v>-1.1399999999999999</v>
      </c>
      <c r="Q13" s="39">
        <v>2.2999999999999998</v>
      </c>
      <c r="R13" s="39">
        <v>2.81</v>
      </c>
      <c r="S13" s="39">
        <v>6.01</v>
      </c>
      <c r="T13" s="39">
        <v>4.12</v>
      </c>
      <c r="U13" s="39">
        <v>4.95</v>
      </c>
      <c r="V13" s="39">
        <v>1.89</v>
      </c>
      <c r="W13" s="40">
        <v>2.52</v>
      </c>
      <c r="X13" s="38">
        <v>1.47</v>
      </c>
      <c r="Y13" s="39">
        <v>0.04</v>
      </c>
      <c r="Z13" s="39">
        <v>0.64</v>
      </c>
      <c r="AA13" s="39">
        <v>0.77</v>
      </c>
      <c r="AB13" s="39">
        <v>1.81</v>
      </c>
      <c r="AC13" s="39">
        <v>1.63</v>
      </c>
      <c r="AD13" s="39">
        <v>0.47</v>
      </c>
      <c r="AE13" s="45">
        <v>3.1</v>
      </c>
      <c r="AF13" s="46">
        <v>2.58</v>
      </c>
      <c r="AG13" s="52">
        <v>4.57</v>
      </c>
      <c r="AH13" s="50">
        <v>5.51</v>
      </c>
      <c r="AI13" s="39">
        <v>-0.81</v>
      </c>
      <c r="AJ13" s="39">
        <v>2.63</v>
      </c>
      <c r="AK13" s="39">
        <v>1.95</v>
      </c>
      <c r="AL13" s="39">
        <v>2.16</v>
      </c>
      <c r="AM13" s="39">
        <v>2.23</v>
      </c>
      <c r="AN13" s="39">
        <v>1.94</v>
      </c>
      <c r="AO13" s="39">
        <v>2.88</v>
      </c>
      <c r="AP13" s="39">
        <v>1.93</v>
      </c>
      <c r="AQ13" s="40">
        <v>1.77</v>
      </c>
      <c r="AR13" s="38">
        <v>0.66</v>
      </c>
      <c r="AS13" s="39">
        <v>0.16</v>
      </c>
      <c r="AT13" s="39">
        <v>2.0499999999999998</v>
      </c>
      <c r="AU13" s="39">
        <v>1.19</v>
      </c>
      <c r="AV13" s="39">
        <v>1.54</v>
      </c>
      <c r="AW13" s="39">
        <v>3.01</v>
      </c>
      <c r="AX13" s="39">
        <v>2.35</v>
      </c>
      <c r="AY13" s="39">
        <v>2.4700000000000002</v>
      </c>
      <c r="AZ13" s="39">
        <v>2.14</v>
      </c>
      <c r="BA13" s="40">
        <v>1.04</v>
      </c>
      <c r="BB13" s="79">
        <v>0.64</v>
      </c>
      <c r="BC13" s="80">
        <v>0.75</v>
      </c>
      <c r="BD13" s="80">
        <v>0.77</v>
      </c>
      <c r="BE13" s="81">
        <v>0.73</v>
      </c>
      <c r="BF13" s="82">
        <v>1.1399999999999999</v>
      </c>
      <c r="BG13" s="82">
        <v>1.31</v>
      </c>
      <c r="BH13" s="82">
        <v>1.26</v>
      </c>
      <c r="BI13" s="82">
        <v>1.29</v>
      </c>
      <c r="BJ13" s="82">
        <v>1.4</v>
      </c>
      <c r="BK13" s="107">
        <v>1.87</v>
      </c>
      <c r="BL13" s="128">
        <v>1.43</v>
      </c>
      <c r="BM13" s="82">
        <v>1.03</v>
      </c>
      <c r="BN13" s="82">
        <v>1.1399999999999999</v>
      </c>
      <c r="BO13" s="17">
        <v>1.46</v>
      </c>
      <c r="BP13" s="17">
        <v>0.66</v>
      </c>
      <c r="BQ13" s="107">
        <f>ROUND(('Annual Change'!BQ13/Population!BP13)*100,2)</f>
        <v>0.88</v>
      </c>
    </row>
    <row r="14" spans="1:69" x14ac:dyDescent="0.2">
      <c r="A14" s="20" t="s">
        <v>19</v>
      </c>
      <c r="B14" s="21" t="s">
        <v>20</v>
      </c>
      <c r="C14" s="25" t="s">
        <v>2</v>
      </c>
      <c r="D14" s="38">
        <v>5.43</v>
      </c>
      <c r="E14" s="39">
        <v>-7.32</v>
      </c>
      <c r="F14" s="39">
        <v>2.63</v>
      </c>
      <c r="G14" s="39">
        <v>0</v>
      </c>
      <c r="H14" s="39">
        <v>-2.56</v>
      </c>
      <c r="I14" s="39">
        <v>0</v>
      </c>
      <c r="J14" s="39">
        <v>2.63</v>
      </c>
      <c r="K14" s="39">
        <v>-2.56</v>
      </c>
      <c r="L14" s="40">
        <v>-5.26</v>
      </c>
      <c r="M14" s="69">
        <v>1.53</v>
      </c>
      <c r="N14" s="38">
        <v>1.23</v>
      </c>
      <c r="O14" s="39">
        <v>8.11</v>
      </c>
      <c r="P14" s="39">
        <v>2.5</v>
      </c>
      <c r="Q14" s="39">
        <v>7.32</v>
      </c>
      <c r="R14" s="39">
        <v>4.55</v>
      </c>
      <c r="S14" s="39">
        <v>4.3499999999999996</v>
      </c>
      <c r="T14" s="39">
        <v>7.23</v>
      </c>
      <c r="U14" s="39">
        <v>2.97</v>
      </c>
      <c r="V14" s="39">
        <v>7.55</v>
      </c>
      <c r="W14" s="40">
        <v>1.95</v>
      </c>
      <c r="X14" s="38">
        <v>2.0499999999999998</v>
      </c>
      <c r="Y14" s="39">
        <v>1.43</v>
      </c>
      <c r="Z14" s="39">
        <v>0.65</v>
      </c>
      <c r="AA14" s="39">
        <v>-0.3</v>
      </c>
      <c r="AB14" s="39">
        <v>-0.33</v>
      </c>
      <c r="AC14" s="39">
        <v>0.3</v>
      </c>
      <c r="AD14" s="39">
        <v>-2.7</v>
      </c>
      <c r="AE14" s="45">
        <v>3.37</v>
      </c>
      <c r="AF14" s="46">
        <v>1.33</v>
      </c>
      <c r="AG14" s="52">
        <v>2.36</v>
      </c>
      <c r="AH14" s="50">
        <v>1.1299999999999999</v>
      </c>
      <c r="AI14" s="39">
        <v>1.56</v>
      </c>
      <c r="AJ14" s="39">
        <v>1.48</v>
      </c>
      <c r="AK14" s="39">
        <v>1.33</v>
      </c>
      <c r="AL14" s="39">
        <v>2.4700000000000002</v>
      </c>
      <c r="AM14" s="39">
        <v>2.0299999999999998</v>
      </c>
      <c r="AN14" s="39">
        <v>1.55</v>
      </c>
      <c r="AO14" s="39">
        <v>1.0900000000000001</v>
      </c>
      <c r="AP14" s="39">
        <v>0.69</v>
      </c>
      <c r="AQ14" s="40">
        <v>1.06</v>
      </c>
      <c r="AR14" s="38">
        <v>1.1000000000000001</v>
      </c>
      <c r="AS14" s="39">
        <v>0.52</v>
      </c>
      <c r="AT14" s="39">
        <v>0.26</v>
      </c>
      <c r="AU14" s="39">
        <v>-0.41</v>
      </c>
      <c r="AV14" s="39">
        <v>0.52</v>
      </c>
      <c r="AW14" s="39">
        <v>0.77</v>
      </c>
      <c r="AX14" s="39">
        <v>0.28999999999999998</v>
      </c>
      <c r="AY14" s="39">
        <v>0.6</v>
      </c>
      <c r="AZ14" s="39">
        <v>0.45</v>
      </c>
      <c r="BA14" s="40">
        <v>-0.16</v>
      </c>
      <c r="BB14" s="79">
        <v>-0.49</v>
      </c>
      <c r="BC14" s="80">
        <v>-0.49</v>
      </c>
      <c r="BD14" s="80">
        <v>-0.37</v>
      </c>
      <c r="BE14" s="81">
        <v>-0.6</v>
      </c>
      <c r="BF14" s="82">
        <v>-0.68</v>
      </c>
      <c r="BG14" s="82">
        <v>-0.48</v>
      </c>
      <c r="BH14" s="82">
        <v>-0.49</v>
      </c>
      <c r="BI14" s="82">
        <v>-0.67</v>
      </c>
      <c r="BJ14" s="82">
        <v>-0.35</v>
      </c>
      <c r="BK14" s="107">
        <v>-0.43</v>
      </c>
      <c r="BL14" s="128">
        <v>1</v>
      </c>
      <c r="BM14" s="82">
        <v>0.69</v>
      </c>
      <c r="BN14" s="82">
        <v>0</v>
      </c>
      <c r="BO14" s="17">
        <v>0.68</v>
      </c>
      <c r="BP14" s="17">
        <v>0</v>
      </c>
      <c r="BQ14" s="107">
        <f>ROUND(('Annual Change'!BQ14/Population!BP14)*100,2)</f>
        <v>0</v>
      </c>
    </row>
    <row r="15" spans="1:69" x14ac:dyDescent="0.2">
      <c r="A15" s="20" t="s">
        <v>21</v>
      </c>
      <c r="B15" s="21" t="s">
        <v>22</v>
      </c>
      <c r="C15" s="25" t="s">
        <v>2</v>
      </c>
      <c r="D15" s="38">
        <v>0.68</v>
      </c>
      <c r="E15" s="39">
        <v>1.7</v>
      </c>
      <c r="F15" s="39">
        <v>-0.42</v>
      </c>
      <c r="G15" s="39">
        <v>1.26</v>
      </c>
      <c r="H15" s="39">
        <v>0.41</v>
      </c>
      <c r="I15" s="39">
        <v>0.83</v>
      </c>
      <c r="J15" s="39">
        <v>3.28</v>
      </c>
      <c r="K15" s="39">
        <v>1.59</v>
      </c>
      <c r="L15" s="40">
        <v>1.95</v>
      </c>
      <c r="M15" s="69">
        <v>-1.0900000000000001</v>
      </c>
      <c r="N15" s="38">
        <v>0.71</v>
      </c>
      <c r="O15" s="39">
        <v>3.08</v>
      </c>
      <c r="P15" s="39">
        <v>1.49</v>
      </c>
      <c r="Q15" s="39">
        <v>0.74</v>
      </c>
      <c r="R15" s="39">
        <v>-1.0900000000000001</v>
      </c>
      <c r="S15" s="39">
        <v>8.1199999999999992</v>
      </c>
      <c r="T15" s="39">
        <v>3.41</v>
      </c>
      <c r="U15" s="39">
        <v>6.6</v>
      </c>
      <c r="V15" s="39">
        <v>5.26</v>
      </c>
      <c r="W15" s="40">
        <v>3.01</v>
      </c>
      <c r="X15" s="38">
        <v>2.0499999999999998</v>
      </c>
      <c r="Y15" s="39">
        <v>2.65</v>
      </c>
      <c r="Z15" s="39">
        <v>0.19</v>
      </c>
      <c r="AA15" s="39">
        <v>0.63</v>
      </c>
      <c r="AB15" s="39">
        <v>-1.0900000000000001</v>
      </c>
      <c r="AC15" s="39">
        <v>-0.54</v>
      </c>
      <c r="AD15" s="39">
        <v>0.74</v>
      </c>
      <c r="AE15" s="45">
        <v>0.68</v>
      </c>
      <c r="AF15" s="46">
        <v>0.84</v>
      </c>
      <c r="AG15" s="52">
        <v>0.68</v>
      </c>
      <c r="AH15" s="50">
        <v>2.8</v>
      </c>
      <c r="AI15" s="39">
        <v>1.44</v>
      </c>
      <c r="AJ15" s="39">
        <v>2.6</v>
      </c>
      <c r="AK15" s="39">
        <v>2.96</v>
      </c>
      <c r="AL15" s="39">
        <v>2.99</v>
      </c>
      <c r="AM15" s="39">
        <v>2.77</v>
      </c>
      <c r="AN15" s="39">
        <v>3.4</v>
      </c>
      <c r="AO15" s="39">
        <v>2.84</v>
      </c>
      <c r="AP15" s="39">
        <v>3.09</v>
      </c>
      <c r="AQ15" s="40">
        <v>3.02</v>
      </c>
      <c r="AR15" s="38">
        <v>2.2799999999999998</v>
      </c>
      <c r="AS15" s="39">
        <v>3.59</v>
      </c>
      <c r="AT15" s="39">
        <v>5.01</v>
      </c>
      <c r="AU15" s="39">
        <v>6.68</v>
      </c>
      <c r="AV15" s="39">
        <v>6.82</v>
      </c>
      <c r="AW15" s="39">
        <v>6.07</v>
      </c>
      <c r="AX15" s="39">
        <v>4.84</v>
      </c>
      <c r="AY15" s="39">
        <v>3.81</v>
      </c>
      <c r="AZ15" s="39">
        <v>3.99</v>
      </c>
      <c r="BA15" s="40">
        <v>4.0599999999999996</v>
      </c>
      <c r="BB15" s="79">
        <v>2.98</v>
      </c>
      <c r="BC15" s="80">
        <v>2.4700000000000002</v>
      </c>
      <c r="BD15" s="80">
        <v>2.14</v>
      </c>
      <c r="BE15" s="81">
        <v>2.72</v>
      </c>
      <c r="BF15" s="82">
        <v>0.59</v>
      </c>
      <c r="BG15" s="82">
        <v>1.68</v>
      </c>
      <c r="BH15" s="82">
        <v>1.72</v>
      </c>
      <c r="BI15" s="82">
        <v>2.88</v>
      </c>
      <c r="BJ15" s="82">
        <v>2.2799999999999998</v>
      </c>
      <c r="BK15" s="107">
        <v>2.13</v>
      </c>
      <c r="BL15" s="128">
        <v>1.65</v>
      </c>
      <c r="BM15" s="82">
        <v>1.42</v>
      </c>
      <c r="BN15" s="82">
        <v>1.35</v>
      </c>
      <c r="BO15" s="17">
        <v>1.19</v>
      </c>
      <c r="BP15" s="17">
        <v>0.93</v>
      </c>
      <c r="BQ15" s="107">
        <f>ROUND(('Annual Change'!BQ15/Population!BP15)*100,2)</f>
        <v>2.57</v>
      </c>
    </row>
    <row r="16" spans="1:69" x14ac:dyDescent="0.2">
      <c r="A16" s="20" t="s">
        <v>23</v>
      </c>
      <c r="B16" s="21" t="s">
        <v>24</v>
      </c>
      <c r="C16" s="25" t="s">
        <v>2</v>
      </c>
      <c r="D16" s="38">
        <v>-2.5499999999999998</v>
      </c>
      <c r="E16" s="39">
        <v>0</v>
      </c>
      <c r="F16" s="39">
        <v>-6.9</v>
      </c>
      <c r="G16" s="39">
        <v>0</v>
      </c>
      <c r="H16" s="39">
        <v>3.7</v>
      </c>
      <c r="I16" s="39">
        <v>0</v>
      </c>
      <c r="J16" s="39">
        <v>3.57</v>
      </c>
      <c r="K16" s="39">
        <v>0</v>
      </c>
      <c r="L16" s="40">
        <v>-3.45</v>
      </c>
      <c r="M16" s="69">
        <v>3.96</v>
      </c>
      <c r="N16" s="38">
        <v>6.49</v>
      </c>
      <c r="O16" s="39">
        <v>3.23</v>
      </c>
      <c r="P16" s="39">
        <v>-6.25</v>
      </c>
      <c r="Q16" s="39">
        <v>-6.67</v>
      </c>
      <c r="R16" s="39">
        <v>0</v>
      </c>
      <c r="S16" s="39">
        <v>3.57</v>
      </c>
      <c r="T16" s="39">
        <v>0</v>
      </c>
      <c r="U16" s="39">
        <v>-6.9</v>
      </c>
      <c r="V16" s="39">
        <v>-3.7</v>
      </c>
      <c r="W16" s="40">
        <v>-5.08</v>
      </c>
      <c r="X16" s="38">
        <v>-0.08</v>
      </c>
      <c r="Y16" s="39">
        <v>-1.18</v>
      </c>
      <c r="Z16" s="39">
        <v>0.41</v>
      </c>
      <c r="AA16" s="39">
        <v>-0.25</v>
      </c>
      <c r="AB16" s="39">
        <v>-0.94</v>
      </c>
      <c r="AC16" s="39">
        <v>-0.91</v>
      </c>
      <c r="AD16" s="39">
        <v>-2.59</v>
      </c>
      <c r="AE16" s="45">
        <v>-0.34</v>
      </c>
      <c r="AF16" s="46">
        <v>-3.14</v>
      </c>
      <c r="AG16" s="52">
        <v>-0.22</v>
      </c>
      <c r="AH16" s="50">
        <v>0.49</v>
      </c>
      <c r="AI16" s="39">
        <v>0.57999999999999996</v>
      </c>
      <c r="AJ16" s="39">
        <v>-0.18</v>
      </c>
      <c r="AK16" s="39">
        <v>1.85</v>
      </c>
      <c r="AL16" s="39">
        <v>0.52</v>
      </c>
      <c r="AM16" s="39">
        <v>0.95</v>
      </c>
      <c r="AN16" s="39">
        <v>0.43</v>
      </c>
      <c r="AO16" s="39">
        <v>0.25</v>
      </c>
      <c r="AP16" s="39">
        <v>0.51</v>
      </c>
      <c r="AQ16" s="40">
        <v>1.05</v>
      </c>
      <c r="AR16" s="38">
        <v>-0.63</v>
      </c>
      <c r="AS16" s="39">
        <v>-0.71</v>
      </c>
      <c r="AT16" s="39">
        <v>-0.72</v>
      </c>
      <c r="AU16" s="39">
        <v>-0.98</v>
      </c>
      <c r="AV16" s="39">
        <v>-0.43</v>
      </c>
      <c r="AW16" s="39">
        <v>-0.39</v>
      </c>
      <c r="AX16" s="39">
        <v>-0.82</v>
      </c>
      <c r="AY16" s="39">
        <v>-0.39</v>
      </c>
      <c r="AZ16" s="39">
        <v>-0.26</v>
      </c>
      <c r="BA16" s="40">
        <v>-0.26</v>
      </c>
      <c r="BB16" s="79">
        <v>0</v>
      </c>
      <c r="BC16" s="80">
        <v>-0.26</v>
      </c>
      <c r="BD16" s="80">
        <v>0</v>
      </c>
      <c r="BE16" s="81">
        <v>-0.35</v>
      </c>
      <c r="BF16" s="82">
        <v>1.24</v>
      </c>
      <c r="BG16" s="82">
        <v>-0.61</v>
      </c>
      <c r="BH16" s="82">
        <v>-0.13</v>
      </c>
      <c r="BI16" s="82">
        <v>0.27</v>
      </c>
      <c r="BJ16" s="82">
        <v>0.4</v>
      </c>
      <c r="BK16" s="107">
        <v>0.35</v>
      </c>
      <c r="BL16" s="128">
        <v>0.61</v>
      </c>
      <c r="BM16" s="82">
        <v>0</v>
      </c>
      <c r="BN16" s="82">
        <v>0</v>
      </c>
      <c r="BO16" s="17">
        <v>1.0900000000000001</v>
      </c>
      <c r="BP16" s="17">
        <v>-1.08</v>
      </c>
      <c r="BQ16" s="107">
        <f>ROUND(('Annual Change'!BQ16/Population!BP16)*100,2)</f>
        <v>0</v>
      </c>
    </row>
    <row r="17" spans="1:69" x14ac:dyDescent="0.2">
      <c r="A17" s="20" t="s">
        <v>25</v>
      </c>
      <c r="B17" s="21" t="s">
        <v>26</v>
      </c>
      <c r="C17" s="25" t="s">
        <v>2</v>
      </c>
      <c r="D17" s="38">
        <v>-0.81</v>
      </c>
      <c r="E17" s="39">
        <v>1.3</v>
      </c>
      <c r="F17" s="39">
        <v>-4.5</v>
      </c>
      <c r="G17" s="39">
        <v>-1.57</v>
      </c>
      <c r="H17" s="39">
        <v>1.37</v>
      </c>
      <c r="I17" s="39">
        <v>3.6</v>
      </c>
      <c r="J17" s="39">
        <v>-6.07</v>
      </c>
      <c r="K17" s="39">
        <v>-0.92</v>
      </c>
      <c r="L17" s="40">
        <v>-6.76</v>
      </c>
      <c r="M17" s="69">
        <v>4.7</v>
      </c>
      <c r="N17" s="38">
        <v>1.72</v>
      </c>
      <c r="O17" s="39">
        <v>0</v>
      </c>
      <c r="P17" s="39">
        <v>-0.94</v>
      </c>
      <c r="Q17" s="39">
        <v>0</v>
      </c>
      <c r="R17" s="39">
        <v>2.37</v>
      </c>
      <c r="S17" s="39">
        <v>4.4000000000000004</v>
      </c>
      <c r="T17" s="39">
        <v>2.2200000000000002</v>
      </c>
      <c r="U17" s="39">
        <v>0.87</v>
      </c>
      <c r="V17" s="39">
        <v>1.94</v>
      </c>
      <c r="W17" s="40">
        <v>2.37</v>
      </c>
      <c r="X17" s="38">
        <v>0</v>
      </c>
      <c r="Y17" s="39">
        <v>0.47</v>
      </c>
      <c r="Z17" s="39">
        <v>2.19</v>
      </c>
      <c r="AA17" s="39">
        <v>1.48</v>
      </c>
      <c r="AB17" s="39">
        <v>0.49</v>
      </c>
      <c r="AC17" s="39">
        <v>1.57</v>
      </c>
      <c r="AD17" s="39">
        <v>0.59</v>
      </c>
      <c r="AE17" s="45">
        <v>0.84</v>
      </c>
      <c r="AF17" s="46">
        <v>0.57999999999999996</v>
      </c>
      <c r="AG17" s="52">
        <v>4.09</v>
      </c>
      <c r="AH17" s="50">
        <v>2.21</v>
      </c>
      <c r="AI17" s="39">
        <v>2.84</v>
      </c>
      <c r="AJ17" s="39">
        <v>3.21</v>
      </c>
      <c r="AK17" s="39">
        <v>3.69</v>
      </c>
      <c r="AL17" s="39">
        <v>3.99</v>
      </c>
      <c r="AM17" s="39">
        <v>3.72</v>
      </c>
      <c r="AN17" s="39">
        <v>2.82</v>
      </c>
      <c r="AO17" s="39">
        <v>3.25</v>
      </c>
      <c r="AP17" s="39">
        <v>3.03</v>
      </c>
      <c r="AQ17" s="40">
        <v>2.72</v>
      </c>
      <c r="AR17" s="38">
        <v>1.61</v>
      </c>
      <c r="AS17" s="39">
        <v>1.37</v>
      </c>
      <c r="AT17" s="39">
        <v>0.72</v>
      </c>
      <c r="AU17" s="39">
        <v>1.92</v>
      </c>
      <c r="AV17" s="39">
        <v>1.45</v>
      </c>
      <c r="AW17" s="39">
        <v>2.09</v>
      </c>
      <c r="AX17" s="39">
        <v>2.37</v>
      </c>
      <c r="AY17" s="39">
        <v>2.69</v>
      </c>
      <c r="AZ17" s="39">
        <v>2.02</v>
      </c>
      <c r="BA17" s="40">
        <v>1.59</v>
      </c>
      <c r="BB17" s="79">
        <v>0.73</v>
      </c>
      <c r="BC17" s="80">
        <v>0.71</v>
      </c>
      <c r="BD17" s="80">
        <v>0.84</v>
      </c>
      <c r="BE17" s="81">
        <v>0.76</v>
      </c>
      <c r="BF17" s="82">
        <v>0.94</v>
      </c>
      <c r="BG17" s="82">
        <v>0.77</v>
      </c>
      <c r="BH17" s="82">
        <v>0.92</v>
      </c>
      <c r="BI17" s="82">
        <v>2.04</v>
      </c>
      <c r="BJ17" s="82">
        <v>1.58</v>
      </c>
      <c r="BK17" s="107">
        <v>1.42</v>
      </c>
      <c r="BL17" s="128">
        <v>1.69</v>
      </c>
      <c r="BM17" s="82">
        <v>0.99</v>
      </c>
      <c r="BN17" s="82">
        <v>1.47</v>
      </c>
      <c r="BO17" s="17">
        <v>1.94</v>
      </c>
      <c r="BP17" s="17">
        <v>0.9</v>
      </c>
      <c r="BQ17" s="107">
        <f>ROUND(('Annual Change'!BQ17/Population!BP17)*100,2)</f>
        <v>1.18</v>
      </c>
    </row>
    <row r="18" spans="1:69" x14ac:dyDescent="0.2">
      <c r="A18" s="20" t="s">
        <v>27</v>
      </c>
      <c r="B18" s="21" t="s">
        <v>28</v>
      </c>
      <c r="C18" s="25" t="s">
        <v>2</v>
      </c>
      <c r="D18" s="38">
        <v>0.98</v>
      </c>
      <c r="E18" s="39">
        <v>0.73</v>
      </c>
      <c r="F18" s="39">
        <v>0.36</v>
      </c>
      <c r="G18" s="39">
        <v>0.54</v>
      </c>
      <c r="H18" s="39">
        <v>0.89</v>
      </c>
      <c r="I18" s="39">
        <v>1.42</v>
      </c>
      <c r="J18" s="39">
        <v>2.8</v>
      </c>
      <c r="K18" s="39">
        <v>0.85</v>
      </c>
      <c r="L18" s="40">
        <v>-0.17</v>
      </c>
      <c r="M18" s="69">
        <v>0.6</v>
      </c>
      <c r="N18" s="38">
        <v>0.75</v>
      </c>
      <c r="O18" s="39">
        <v>-1</v>
      </c>
      <c r="P18" s="39">
        <v>-0.84</v>
      </c>
      <c r="Q18" s="39">
        <v>1.7</v>
      </c>
      <c r="R18" s="39">
        <v>0.83</v>
      </c>
      <c r="S18" s="39">
        <v>-0.33</v>
      </c>
      <c r="T18" s="39">
        <v>1.99</v>
      </c>
      <c r="U18" s="39">
        <v>2.77</v>
      </c>
      <c r="V18" s="39">
        <v>2.06</v>
      </c>
      <c r="W18" s="40">
        <v>2.97</v>
      </c>
      <c r="X18" s="38">
        <v>-0.06</v>
      </c>
      <c r="Y18" s="39">
        <v>-1.37</v>
      </c>
      <c r="Z18" s="39">
        <v>-0.2</v>
      </c>
      <c r="AA18" s="39">
        <v>-0.74</v>
      </c>
      <c r="AB18" s="39">
        <v>-1.37</v>
      </c>
      <c r="AC18" s="39">
        <v>-1.81</v>
      </c>
      <c r="AD18" s="39">
        <v>0.14000000000000001</v>
      </c>
      <c r="AE18" s="45">
        <v>0.8</v>
      </c>
      <c r="AF18" s="46">
        <v>0.97</v>
      </c>
      <c r="AG18" s="52">
        <v>0.4</v>
      </c>
      <c r="AH18" s="50">
        <v>0.21</v>
      </c>
      <c r="AI18" s="39">
        <v>0.51</v>
      </c>
      <c r="AJ18" s="39">
        <v>0.45</v>
      </c>
      <c r="AK18" s="39">
        <v>0.79</v>
      </c>
      <c r="AL18" s="39">
        <v>0.57999999999999996</v>
      </c>
      <c r="AM18" s="39">
        <v>0.53</v>
      </c>
      <c r="AN18" s="39">
        <v>0.57999999999999996</v>
      </c>
      <c r="AO18" s="39">
        <v>0.02</v>
      </c>
      <c r="AP18" s="39">
        <v>0.3</v>
      </c>
      <c r="AQ18" s="40">
        <v>0.64</v>
      </c>
      <c r="AR18" s="38">
        <v>2.25</v>
      </c>
      <c r="AS18" s="39">
        <v>0.76</v>
      </c>
      <c r="AT18" s="39">
        <v>0.31</v>
      </c>
      <c r="AU18" s="39">
        <v>0.9</v>
      </c>
      <c r="AV18" s="39">
        <v>1.06</v>
      </c>
      <c r="AW18" s="39">
        <v>1.0900000000000001</v>
      </c>
      <c r="AX18" s="39">
        <v>0.64</v>
      </c>
      <c r="AY18" s="39">
        <v>0.36</v>
      </c>
      <c r="AZ18" s="39">
        <v>0.38</v>
      </c>
      <c r="BA18" s="40">
        <v>0.31</v>
      </c>
      <c r="BB18" s="79">
        <v>0.12</v>
      </c>
      <c r="BC18" s="80">
        <v>0.35</v>
      </c>
      <c r="BD18" s="80">
        <v>0.18</v>
      </c>
      <c r="BE18" s="81">
        <v>0.31</v>
      </c>
      <c r="BF18" s="82">
        <v>-0.03</v>
      </c>
      <c r="BG18" s="82">
        <v>0.26</v>
      </c>
      <c r="BH18" s="82">
        <v>0.34</v>
      </c>
      <c r="BI18" s="82">
        <v>0.67</v>
      </c>
      <c r="BJ18" s="82">
        <v>0.99</v>
      </c>
      <c r="BK18" s="107">
        <v>0.65</v>
      </c>
      <c r="BL18" s="128">
        <v>0.55000000000000004</v>
      </c>
      <c r="BM18" s="82">
        <v>0.46</v>
      </c>
      <c r="BN18" s="82">
        <v>0.79</v>
      </c>
      <c r="BO18" s="17">
        <v>0.52</v>
      </c>
      <c r="BP18" s="17">
        <v>0.45</v>
      </c>
      <c r="BQ18" s="107">
        <f>ROUND(('Annual Change'!BQ18/Population!BP18)*100,2)</f>
        <v>0.51</v>
      </c>
    </row>
    <row r="19" spans="1:69" x14ac:dyDescent="0.2">
      <c r="A19" s="20" t="s">
        <v>29</v>
      </c>
      <c r="B19" s="21" t="s">
        <v>30</v>
      </c>
      <c r="C19" s="25" t="s">
        <v>2</v>
      </c>
      <c r="D19" s="38">
        <v>3.37</v>
      </c>
      <c r="E19" s="39">
        <v>2.96</v>
      </c>
      <c r="F19" s="39">
        <v>0.96</v>
      </c>
      <c r="G19" s="39">
        <v>2.84</v>
      </c>
      <c r="H19" s="39">
        <v>3.23</v>
      </c>
      <c r="I19" s="39">
        <v>3.13</v>
      </c>
      <c r="J19" s="39">
        <v>4.76</v>
      </c>
      <c r="K19" s="39">
        <v>3.31</v>
      </c>
      <c r="L19" s="40">
        <v>2.8</v>
      </c>
      <c r="M19" s="69">
        <v>5.0999999999999996</v>
      </c>
      <c r="N19" s="38">
        <v>1.44</v>
      </c>
      <c r="O19" s="39">
        <v>7.66</v>
      </c>
      <c r="P19" s="39">
        <v>7.12</v>
      </c>
      <c r="Q19" s="39">
        <v>5.0599999999999996</v>
      </c>
      <c r="R19" s="39">
        <v>4.5199999999999996</v>
      </c>
      <c r="S19" s="39">
        <v>4.6100000000000003</v>
      </c>
      <c r="T19" s="39">
        <v>3.38</v>
      </c>
      <c r="U19" s="39">
        <v>9.7799999999999994</v>
      </c>
      <c r="V19" s="39">
        <v>2.4300000000000002</v>
      </c>
      <c r="W19" s="40">
        <v>4.38</v>
      </c>
      <c r="X19" s="38">
        <v>3.17</v>
      </c>
      <c r="Y19" s="39">
        <v>2.46</v>
      </c>
      <c r="Z19" s="39">
        <v>2.13</v>
      </c>
      <c r="AA19" s="39">
        <v>1.42</v>
      </c>
      <c r="AB19" s="39">
        <v>2.98</v>
      </c>
      <c r="AC19" s="39">
        <v>2.74</v>
      </c>
      <c r="AD19" s="39">
        <v>2.77</v>
      </c>
      <c r="AE19" s="45">
        <v>3.69</v>
      </c>
      <c r="AF19" s="46">
        <v>3.96</v>
      </c>
      <c r="AG19" s="52">
        <v>6.5</v>
      </c>
      <c r="AH19" s="50">
        <v>3.29</v>
      </c>
      <c r="AI19" s="39">
        <v>1.79</v>
      </c>
      <c r="AJ19" s="39">
        <v>1.6</v>
      </c>
      <c r="AK19" s="39">
        <v>1.3</v>
      </c>
      <c r="AL19" s="39">
        <v>1.9</v>
      </c>
      <c r="AM19" s="39">
        <v>1.4</v>
      </c>
      <c r="AN19" s="39">
        <v>1.82</v>
      </c>
      <c r="AO19" s="39">
        <v>1.57</v>
      </c>
      <c r="AP19" s="39">
        <v>1.47</v>
      </c>
      <c r="AQ19" s="40">
        <v>1.32</v>
      </c>
      <c r="AR19" s="38">
        <v>0.7</v>
      </c>
      <c r="AS19" s="39">
        <v>1.51</v>
      </c>
      <c r="AT19" s="39">
        <v>0.65</v>
      </c>
      <c r="AU19" s="39">
        <v>1.25</v>
      </c>
      <c r="AV19" s="39">
        <v>1.88</v>
      </c>
      <c r="AW19" s="39">
        <v>1.63</v>
      </c>
      <c r="AX19" s="39">
        <v>1.34</v>
      </c>
      <c r="AY19" s="39">
        <v>0.41</v>
      </c>
      <c r="AZ19" s="39">
        <v>0.25</v>
      </c>
      <c r="BA19" s="40">
        <v>-0.28999999999999998</v>
      </c>
      <c r="BB19" s="79">
        <v>0.9</v>
      </c>
      <c r="BC19" s="80">
        <v>0.91</v>
      </c>
      <c r="BD19" s="80">
        <v>0.27</v>
      </c>
      <c r="BE19" s="81">
        <v>0.83</v>
      </c>
      <c r="BF19" s="82">
        <v>1.08</v>
      </c>
      <c r="BG19" s="82">
        <v>1.32</v>
      </c>
      <c r="BH19" s="82">
        <v>1.65</v>
      </c>
      <c r="BI19" s="82">
        <v>1.1299999999999999</v>
      </c>
      <c r="BJ19" s="82">
        <v>0.91</v>
      </c>
      <c r="BK19" s="107">
        <v>1.18</v>
      </c>
      <c r="BL19" s="128">
        <v>0.28000000000000003</v>
      </c>
      <c r="BM19" s="82">
        <v>0.69</v>
      </c>
      <c r="BN19" s="82">
        <v>0.51</v>
      </c>
      <c r="BO19" s="17">
        <v>0.56999999999999995</v>
      </c>
      <c r="BP19" s="17">
        <v>0.06</v>
      </c>
      <c r="BQ19" s="107">
        <f>ROUND(('Annual Change'!BQ19/Population!BP19)*100,2)</f>
        <v>0.34</v>
      </c>
    </row>
    <row r="20" spans="1:69" x14ac:dyDescent="0.2">
      <c r="A20" s="20" t="s">
        <v>31</v>
      </c>
      <c r="B20" s="21" t="s">
        <v>32</v>
      </c>
      <c r="C20" s="25" t="s">
        <v>2</v>
      </c>
      <c r="D20" s="38">
        <v>1.67</v>
      </c>
      <c r="E20" s="39">
        <v>-1.02</v>
      </c>
      <c r="F20" s="39">
        <v>1.03</v>
      </c>
      <c r="G20" s="39">
        <v>1.02</v>
      </c>
      <c r="H20" s="39">
        <v>-1.01</v>
      </c>
      <c r="I20" s="39">
        <v>2.04</v>
      </c>
      <c r="J20" s="39">
        <v>3</v>
      </c>
      <c r="K20" s="39">
        <v>3.88</v>
      </c>
      <c r="L20" s="40">
        <v>-4.67</v>
      </c>
      <c r="M20" s="69">
        <v>4.5199999999999996</v>
      </c>
      <c r="N20" s="38">
        <v>-0.56999999999999995</v>
      </c>
      <c r="O20" s="39">
        <v>0</v>
      </c>
      <c r="P20" s="39">
        <v>0.94</v>
      </c>
      <c r="Q20" s="39">
        <v>5.61</v>
      </c>
      <c r="R20" s="39">
        <v>4.42</v>
      </c>
      <c r="S20" s="39">
        <v>4.24</v>
      </c>
      <c r="T20" s="39">
        <v>4.07</v>
      </c>
      <c r="U20" s="39">
        <v>8.59</v>
      </c>
      <c r="V20" s="39">
        <v>6.47</v>
      </c>
      <c r="W20" s="40">
        <v>7.87</v>
      </c>
      <c r="X20" s="38">
        <v>4.83</v>
      </c>
      <c r="Y20" s="39">
        <v>1.68</v>
      </c>
      <c r="Z20" s="39">
        <v>-0.54</v>
      </c>
      <c r="AA20" s="39">
        <v>3.28</v>
      </c>
      <c r="AB20" s="39">
        <v>2.25</v>
      </c>
      <c r="AC20" s="39">
        <v>2.48</v>
      </c>
      <c r="AD20" s="39">
        <v>1.18</v>
      </c>
      <c r="AE20" s="45">
        <v>3.23</v>
      </c>
      <c r="AF20" s="46">
        <v>2.83</v>
      </c>
      <c r="AG20" s="52">
        <v>3.73</v>
      </c>
      <c r="AH20" s="50">
        <v>3.62</v>
      </c>
      <c r="AI20" s="39">
        <v>3.76</v>
      </c>
      <c r="AJ20" s="39">
        <v>3.2</v>
      </c>
      <c r="AK20" s="39">
        <v>2.97</v>
      </c>
      <c r="AL20" s="39">
        <v>2.73</v>
      </c>
      <c r="AM20" s="39">
        <v>1.93</v>
      </c>
      <c r="AN20" s="39">
        <v>2.1</v>
      </c>
      <c r="AO20" s="39">
        <v>1.59</v>
      </c>
      <c r="AP20" s="39">
        <v>2.14</v>
      </c>
      <c r="AQ20" s="40">
        <v>1.68</v>
      </c>
      <c r="AR20" s="38">
        <v>1.39</v>
      </c>
      <c r="AS20" s="39">
        <v>1.79</v>
      </c>
      <c r="AT20" s="39">
        <v>0.74</v>
      </c>
      <c r="AU20" s="39">
        <v>1.44</v>
      </c>
      <c r="AV20" s="39">
        <v>2.23</v>
      </c>
      <c r="AW20" s="39">
        <v>1.73</v>
      </c>
      <c r="AX20" s="39">
        <v>1.38</v>
      </c>
      <c r="AY20" s="39">
        <v>1.33</v>
      </c>
      <c r="AZ20" s="39">
        <v>0.47</v>
      </c>
      <c r="BA20" s="40">
        <v>0.33</v>
      </c>
      <c r="BB20" s="79">
        <v>1.04</v>
      </c>
      <c r="BC20" s="80">
        <v>0.8</v>
      </c>
      <c r="BD20" s="80">
        <v>0.55000000000000004</v>
      </c>
      <c r="BE20" s="81">
        <v>1.28</v>
      </c>
      <c r="BF20" s="82">
        <v>0.91</v>
      </c>
      <c r="BG20" s="82">
        <v>1.4</v>
      </c>
      <c r="BH20" s="82">
        <v>0.93</v>
      </c>
      <c r="BI20" s="82">
        <v>0.98</v>
      </c>
      <c r="BJ20" s="82">
        <v>1.1399999999999999</v>
      </c>
      <c r="BK20" s="107">
        <v>0.9</v>
      </c>
      <c r="BL20" s="128">
        <v>0.37</v>
      </c>
      <c r="BM20" s="82">
        <v>0.76</v>
      </c>
      <c r="BN20" s="82">
        <v>0.22</v>
      </c>
      <c r="BO20" s="17">
        <v>0.82</v>
      </c>
      <c r="BP20" s="17">
        <v>0.37</v>
      </c>
      <c r="BQ20" s="107">
        <f>ROUND(('Annual Change'!BQ20/Population!BP20)*100,2)</f>
        <v>0.81</v>
      </c>
    </row>
    <row r="21" spans="1:69" x14ac:dyDescent="0.2">
      <c r="A21" s="20" t="s">
        <v>33</v>
      </c>
      <c r="B21" s="21" t="s">
        <v>34</v>
      </c>
      <c r="C21" s="25" t="s">
        <v>2</v>
      </c>
      <c r="D21" s="38">
        <v>1.85</v>
      </c>
      <c r="E21" s="39">
        <v>2.0299999999999998</v>
      </c>
      <c r="F21" s="39">
        <v>1.32</v>
      </c>
      <c r="G21" s="39">
        <v>1.61</v>
      </c>
      <c r="H21" s="39">
        <v>2.38</v>
      </c>
      <c r="I21" s="39">
        <v>2.29</v>
      </c>
      <c r="J21" s="39">
        <v>4.87</v>
      </c>
      <c r="K21" s="39">
        <v>4.6900000000000004</v>
      </c>
      <c r="L21" s="40">
        <v>0.96</v>
      </c>
      <c r="M21" s="69">
        <v>-0.14000000000000001</v>
      </c>
      <c r="N21" s="38">
        <v>-0.68</v>
      </c>
      <c r="O21" s="39">
        <v>-0.49</v>
      </c>
      <c r="P21" s="39">
        <v>-0.04</v>
      </c>
      <c r="Q21" s="39">
        <v>0.51</v>
      </c>
      <c r="R21" s="39">
        <v>0.36</v>
      </c>
      <c r="S21" s="39">
        <v>0.05</v>
      </c>
      <c r="T21" s="39">
        <v>1</v>
      </c>
      <c r="U21" s="39">
        <v>2.02</v>
      </c>
      <c r="V21" s="39">
        <v>3.12</v>
      </c>
      <c r="W21" s="40">
        <v>3.39</v>
      </c>
      <c r="X21" s="38">
        <v>2.52</v>
      </c>
      <c r="Y21" s="39">
        <v>1.29</v>
      </c>
      <c r="Z21" s="39">
        <v>-0.09</v>
      </c>
      <c r="AA21" s="39">
        <v>1.24</v>
      </c>
      <c r="AB21" s="39">
        <v>1.7</v>
      </c>
      <c r="AC21" s="39">
        <v>1.44</v>
      </c>
      <c r="AD21" s="39">
        <v>1.75</v>
      </c>
      <c r="AE21" s="45">
        <v>2.0299999999999998</v>
      </c>
      <c r="AF21" s="46">
        <v>2.4300000000000002</v>
      </c>
      <c r="AG21" s="52">
        <v>3.01</v>
      </c>
      <c r="AH21" s="50">
        <v>2.83</v>
      </c>
      <c r="AI21" s="39">
        <v>1.36</v>
      </c>
      <c r="AJ21" s="39">
        <v>1.25</v>
      </c>
      <c r="AK21" s="39">
        <v>1.19</v>
      </c>
      <c r="AL21" s="39">
        <v>0.98</v>
      </c>
      <c r="AM21" s="39">
        <v>0.92</v>
      </c>
      <c r="AN21" s="39">
        <v>1.1499999999999999</v>
      </c>
      <c r="AO21" s="39">
        <v>1.64</v>
      </c>
      <c r="AP21" s="39">
        <v>1.53</v>
      </c>
      <c r="AQ21" s="40">
        <v>1.46</v>
      </c>
      <c r="AR21" s="38">
        <v>1.06</v>
      </c>
      <c r="AS21" s="39">
        <v>1.25</v>
      </c>
      <c r="AT21" s="39">
        <v>0.59</v>
      </c>
      <c r="AU21" s="39">
        <v>0.71</v>
      </c>
      <c r="AV21" s="39">
        <v>0.79</v>
      </c>
      <c r="AW21" s="39">
        <v>1.66</v>
      </c>
      <c r="AX21" s="39">
        <v>1.4</v>
      </c>
      <c r="AY21" s="39">
        <v>1.07</v>
      </c>
      <c r="AZ21" s="39">
        <v>0.96</v>
      </c>
      <c r="BA21" s="40">
        <v>1.1499999999999999</v>
      </c>
      <c r="BB21" s="79">
        <v>0.75</v>
      </c>
      <c r="BC21" s="80">
        <v>0.56999999999999995</v>
      </c>
      <c r="BD21" s="80">
        <v>1.37</v>
      </c>
      <c r="BE21" s="81">
        <v>1.89</v>
      </c>
      <c r="BF21" s="82">
        <v>2.0299999999999998</v>
      </c>
      <c r="BG21" s="82">
        <v>2.76</v>
      </c>
      <c r="BH21" s="82">
        <v>1.46</v>
      </c>
      <c r="BI21" s="82">
        <v>1.75</v>
      </c>
      <c r="BJ21" s="82">
        <v>1.84</v>
      </c>
      <c r="BK21" s="107">
        <v>1.88</v>
      </c>
      <c r="BL21" s="128">
        <v>0.77</v>
      </c>
      <c r="BM21" s="82">
        <v>1.34</v>
      </c>
      <c r="BN21" s="82">
        <v>1.3</v>
      </c>
      <c r="BO21" s="17">
        <v>1.29</v>
      </c>
      <c r="BP21" s="17">
        <v>1.41</v>
      </c>
      <c r="BQ21" s="107">
        <f>ROUND(('Annual Change'!BQ21/Population!BP21)*100,2)</f>
        <v>0.54</v>
      </c>
    </row>
    <row r="22" spans="1:69" x14ac:dyDescent="0.2">
      <c r="A22" s="20" t="s">
        <v>36</v>
      </c>
      <c r="B22" s="21" t="s">
        <v>37</v>
      </c>
      <c r="C22" s="25" t="s">
        <v>2</v>
      </c>
      <c r="D22" s="38">
        <v>1.57</v>
      </c>
      <c r="E22" s="39">
        <v>1.4</v>
      </c>
      <c r="F22" s="39">
        <v>0.81</v>
      </c>
      <c r="G22" s="39">
        <v>0.8</v>
      </c>
      <c r="H22" s="39">
        <v>1.93</v>
      </c>
      <c r="I22" s="39">
        <v>2</v>
      </c>
      <c r="J22" s="39">
        <v>1.86</v>
      </c>
      <c r="K22" s="39">
        <v>3.11</v>
      </c>
      <c r="L22" s="40">
        <v>7.07</v>
      </c>
      <c r="M22" s="69">
        <v>-1.23</v>
      </c>
      <c r="N22" s="38">
        <v>-1.6</v>
      </c>
      <c r="O22" s="39">
        <v>-0.5</v>
      </c>
      <c r="P22" s="39">
        <v>1.41</v>
      </c>
      <c r="Q22" s="39">
        <v>4.8499999999999996</v>
      </c>
      <c r="R22" s="39">
        <v>9.6199999999999992</v>
      </c>
      <c r="S22" s="39">
        <v>4.75</v>
      </c>
      <c r="T22" s="39">
        <v>5.51</v>
      </c>
      <c r="U22" s="39">
        <v>2.65</v>
      </c>
      <c r="V22" s="39">
        <v>4.63</v>
      </c>
      <c r="W22" s="40">
        <v>6.79</v>
      </c>
      <c r="X22" s="38">
        <v>5.78</v>
      </c>
      <c r="Y22" s="39">
        <v>0.69</v>
      </c>
      <c r="Z22" s="39">
        <v>2.74</v>
      </c>
      <c r="AA22" s="39">
        <v>1.54</v>
      </c>
      <c r="AB22" s="39">
        <v>3.19</v>
      </c>
      <c r="AC22" s="39">
        <v>-0.76</v>
      </c>
      <c r="AD22" s="39">
        <v>2.73</v>
      </c>
      <c r="AE22" s="45">
        <v>4.28</v>
      </c>
      <c r="AF22" s="46">
        <v>2.11</v>
      </c>
      <c r="AG22" s="52">
        <v>3.59</v>
      </c>
      <c r="AH22" s="50">
        <v>3.79</v>
      </c>
      <c r="AI22" s="39">
        <v>2.63</v>
      </c>
      <c r="AJ22" s="39">
        <v>2.9</v>
      </c>
      <c r="AK22" s="39">
        <v>2.14</v>
      </c>
      <c r="AL22" s="39">
        <v>2.77</v>
      </c>
      <c r="AM22" s="39">
        <v>1.62</v>
      </c>
      <c r="AN22" s="39">
        <v>1.53</v>
      </c>
      <c r="AO22" s="39">
        <v>0.86</v>
      </c>
      <c r="AP22" s="39">
        <v>1.05</v>
      </c>
      <c r="AQ22" s="40">
        <v>1.05</v>
      </c>
      <c r="AR22" s="38">
        <v>0.84</v>
      </c>
      <c r="AS22" s="39">
        <v>1.17</v>
      </c>
      <c r="AT22" s="39">
        <v>1.18</v>
      </c>
      <c r="AU22" s="39">
        <v>0.56000000000000005</v>
      </c>
      <c r="AV22" s="39">
        <v>-0.4</v>
      </c>
      <c r="AW22" s="39">
        <v>1.76</v>
      </c>
      <c r="AX22" s="39">
        <v>1.4</v>
      </c>
      <c r="AY22" s="39">
        <v>0.98</v>
      </c>
      <c r="AZ22" s="39">
        <v>0.54</v>
      </c>
      <c r="BA22" s="40">
        <v>-0.05</v>
      </c>
      <c r="BB22" s="79">
        <v>-0.28000000000000003</v>
      </c>
      <c r="BC22" s="80">
        <v>0.99</v>
      </c>
      <c r="BD22" s="80">
        <v>0.12</v>
      </c>
      <c r="BE22" s="81">
        <v>1.0900000000000001</v>
      </c>
      <c r="BF22" s="82">
        <v>1.2</v>
      </c>
      <c r="BG22" s="82">
        <v>1.71</v>
      </c>
      <c r="BH22" s="82">
        <v>0.68</v>
      </c>
      <c r="BI22" s="82">
        <v>1.51</v>
      </c>
      <c r="BJ22" s="82">
        <v>1.1399999999999999</v>
      </c>
      <c r="BK22" s="107">
        <v>1.2</v>
      </c>
      <c r="BL22" s="128">
        <v>0.76</v>
      </c>
      <c r="BM22" s="82">
        <v>1.1499999999999999</v>
      </c>
      <c r="BN22" s="82">
        <v>0.82</v>
      </c>
      <c r="BO22" s="17">
        <v>1.02</v>
      </c>
      <c r="BP22" s="17">
        <v>0.98</v>
      </c>
      <c r="BQ22" s="107">
        <f>ROUND(('Annual Change'!BQ22/Population!BP22)*100,2)</f>
        <v>1</v>
      </c>
    </row>
    <row r="23" spans="1:69" x14ac:dyDescent="0.2">
      <c r="A23" s="20" t="s">
        <v>38</v>
      </c>
      <c r="B23" s="21" t="s">
        <v>39</v>
      </c>
      <c r="C23" s="25" t="s">
        <v>2</v>
      </c>
      <c r="D23" s="38">
        <v>2.12</v>
      </c>
      <c r="E23" s="39">
        <v>1.44</v>
      </c>
      <c r="F23" s="39">
        <v>2.36</v>
      </c>
      <c r="G23" s="39">
        <v>1.38</v>
      </c>
      <c r="H23" s="39">
        <v>1.82</v>
      </c>
      <c r="I23" s="39">
        <v>1.79</v>
      </c>
      <c r="J23" s="39">
        <v>3.51</v>
      </c>
      <c r="K23" s="39">
        <v>4.24</v>
      </c>
      <c r="L23" s="40">
        <v>0.41</v>
      </c>
      <c r="M23" s="69">
        <v>1.37</v>
      </c>
      <c r="N23" s="38">
        <v>1.84</v>
      </c>
      <c r="O23" s="39">
        <v>-0.78</v>
      </c>
      <c r="P23" s="39">
        <v>-2.77</v>
      </c>
      <c r="Q23" s="39">
        <v>-0.41</v>
      </c>
      <c r="R23" s="39">
        <v>0.82</v>
      </c>
      <c r="S23" s="39">
        <v>1.62</v>
      </c>
      <c r="T23" s="39">
        <v>-0.4</v>
      </c>
      <c r="U23" s="39">
        <v>-0.8</v>
      </c>
      <c r="V23" s="39">
        <v>-0.81</v>
      </c>
      <c r="W23" s="40">
        <v>1.1299999999999999</v>
      </c>
      <c r="X23" s="38">
        <v>0.94</v>
      </c>
      <c r="Y23" s="39">
        <v>0.03</v>
      </c>
      <c r="Z23" s="39">
        <v>0.86</v>
      </c>
      <c r="AA23" s="39">
        <v>0.04</v>
      </c>
      <c r="AB23" s="39">
        <v>0.24</v>
      </c>
      <c r="AC23" s="39">
        <v>-0.53</v>
      </c>
      <c r="AD23" s="39">
        <v>0.54</v>
      </c>
      <c r="AE23" s="45">
        <v>1.71</v>
      </c>
      <c r="AF23" s="46">
        <v>0.72</v>
      </c>
      <c r="AG23" s="52">
        <v>2.67</v>
      </c>
      <c r="AH23" s="50">
        <v>1.79</v>
      </c>
      <c r="AI23" s="39">
        <v>1.77</v>
      </c>
      <c r="AJ23" s="39">
        <v>2.21</v>
      </c>
      <c r="AK23" s="39">
        <v>2.27</v>
      </c>
      <c r="AL23" s="39">
        <v>2.95</v>
      </c>
      <c r="AM23" s="39">
        <v>1.95</v>
      </c>
      <c r="AN23" s="39">
        <v>2.0299999999999998</v>
      </c>
      <c r="AO23" s="39">
        <v>2.76</v>
      </c>
      <c r="AP23" s="39">
        <v>3.36</v>
      </c>
      <c r="AQ23" s="40">
        <v>1.35</v>
      </c>
      <c r="AR23" s="38">
        <v>1.72</v>
      </c>
      <c r="AS23" s="39">
        <v>1.68</v>
      </c>
      <c r="AT23" s="39">
        <v>2.8</v>
      </c>
      <c r="AU23" s="39">
        <v>3.66</v>
      </c>
      <c r="AV23" s="39">
        <v>2.41</v>
      </c>
      <c r="AW23" s="39">
        <v>1.37</v>
      </c>
      <c r="AX23" s="39">
        <v>2.5099999999999998</v>
      </c>
      <c r="AY23" s="39">
        <v>2.58</v>
      </c>
      <c r="AZ23" s="39">
        <v>1.41</v>
      </c>
      <c r="BA23" s="40">
        <v>0.5</v>
      </c>
      <c r="BB23" s="79">
        <v>0.87</v>
      </c>
      <c r="BC23" s="80">
        <v>0.34</v>
      </c>
      <c r="BD23" s="80">
        <v>0.08</v>
      </c>
      <c r="BE23" s="81">
        <v>1.55</v>
      </c>
      <c r="BF23" s="82">
        <v>0.7</v>
      </c>
      <c r="BG23" s="82">
        <v>2.08</v>
      </c>
      <c r="BH23" s="82">
        <v>1.52</v>
      </c>
      <c r="BI23" s="82">
        <v>1.08</v>
      </c>
      <c r="BJ23" s="82">
        <v>1.77</v>
      </c>
      <c r="BK23" s="107">
        <v>2.85</v>
      </c>
      <c r="BL23" s="128">
        <v>-2.67</v>
      </c>
      <c r="BM23" s="82">
        <v>4.37</v>
      </c>
      <c r="BN23" s="82">
        <v>0.21</v>
      </c>
      <c r="BO23" s="17">
        <v>2.75</v>
      </c>
      <c r="BP23" s="17">
        <v>0.72</v>
      </c>
      <c r="BQ23" s="107">
        <f>ROUND(('Annual Change'!BQ23/Population!BP23)*100,2)</f>
        <v>0.61</v>
      </c>
    </row>
    <row r="24" spans="1:69" x14ac:dyDescent="0.2">
      <c r="A24" s="20" t="s">
        <v>40</v>
      </c>
      <c r="B24" s="21" t="s">
        <v>41</v>
      </c>
      <c r="C24" s="25" t="s">
        <v>2</v>
      </c>
      <c r="D24" s="38">
        <v>-1.1499999999999999</v>
      </c>
      <c r="E24" s="39">
        <v>0</v>
      </c>
      <c r="F24" s="39">
        <v>-1.5</v>
      </c>
      <c r="G24" s="39">
        <v>-1.53</v>
      </c>
      <c r="H24" s="39">
        <v>0</v>
      </c>
      <c r="I24" s="39">
        <v>-3.1</v>
      </c>
      <c r="J24" s="39">
        <v>0.8</v>
      </c>
      <c r="K24" s="39">
        <v>0</v>
      </c>
      <c r="L24" s="40">
        <v>-0.79</v>
      </c>
      <c r="M24" s="69">
        <v>-2.9</v>
      </c>
      <c r="N24" s="38">
        <v>3.81</v>
      </c>
      <c r="O24" s="39">
        <v>0</v>
      </c>
      <c r="P24" s="39">
        <v>0.79</v>
      </c>
      <c r="Q24" s="39">
        <v>0.79</v>
      </c>
      <c r="R24" s="39">
        <v>4.6900000000000004</v>
      </c>
      <c r="S24" s="39">
        <v>1.49</v>
      </c>
      <c r="T24" s="39">
        <v>2.94</v>
      </c>
      <c r="U24" s="39">
        <v>4.29</v>
      </c>
      <c r="V24" s="39">
        <v>4.1100000000000003</v>
      </c>
      <c r="W24" s="40">
        <v>4.09</v>
      </c>
      <c r="X24" s="38">
        <v>2.2200000000000002</v>
      </c>
      <c r="Y24" s="39">
        <v>0.15</v>
      </c>
      <c r="Z24" s="39">
        <v>0.37</v>
      </c>
      <c r="AA24" s="39">
        <v>0.34</v>
      </c>
      <c r="AB24" s="39">
        <v>1.1599999999999999</v>
      </c>
      <c r="AC24" s="39">
        <v>-2.11</v>
      </c>
      <c r="AD24" s="39">
        <v>-0.76</v>
      </c>
      <c r="AE24" s="45">
        <v>0.17</v>
      </c>
      <c r="AF24" s="46">
        <v>1.1299999999999999</v>
      </c>
      <c r="AG24" s="52">
        <v>2.2999999999999998</v>
      </c>
      <c r="AH24" s="50">
        <v>0.93</v>
      </c>
      <c r="AI24" s="39">
        <v>0.52</v>
      </c>
      <c r="AJ24" s="39">
        <v>1.24</v>
      </c>
      <c r="AK24" s="39">
        <v>1.34</v>
      </c>
      <c r="AL24" s="39">
        <v>1.78</v>
      </c>
      <c r="AM24" s="39">
        <v>1.83</v>
      </c>
      <c r="AN24" s="39">
        <v>1.77</v>
      </c>
      <c r="AO24" s="39">
        <v>1.8</v>
      </c>
      <c r="AP24" s="39">
        <v>1.73</v>
      </c>
      <c r="AQ24" s="40">
        <v>1.41</v>
      </c>
      <c r="AR24" s="38">
        <v>0.64</v>
      </c>
      <c r="AS24" s="39">
        <v>0.41</v>
      </c>
      <c r="AT24" s="39">
        <v>0.51</v>
      </c>
      <c r="AU24" s="39">
        <v>0.97</v>
      </c>
      <c r="AV24" s="39">
        <v>0.51</v>
      </c>
      <c r="AW24" s="39">
        <v>1.1399999999999999</v>
      </c>
      <c r="AX24" s="39">
        <v>0.65</v>
      </c>
      <c r="AY24" s="39">
        <v>0.54</v>
      </c>
      <c r="AZ24" s="39">
        <v>0.2</v>
      </c>
      <c r="BA24" s="40">
        <v>0.31</v>
      </c>
      <c r="BB24" s="79">
        <v>1.04</v>
      </c>
      <c r="BC24" s="80">
        <v>0.72</v>
      </c>
      <c r="BD24" s="80">
        <v>0.62</v>
      </c>
      <c r="BE24" s="81">
        <v>1.0900000000000001</v>
      </c>
      <c r="BF24" s="82">
        <v>0.85</v>
      </c>
      <c r="BG24" s="82">
        <v>1.35</v>
      </c>
      <c r="BH24" s="82">
        <v>1.43</v>
      </c>
      <c r="BI24" s="82">
        <v>1.3</v>
      </c>
      <c r="BJ24" s="82">
        <v>1.61</v>
      </c>
      <c r="BK24" s="107">
        <v>1.3</v>
      </c>
      <c r="BL24" s="128">
        <v>1.17</v>
      </c>
      <c r="BM24" s="82">
        <v>0.65</v>
      </c>
      <c r="BN24" s="82">
        <v>0.43</v>
      </c>
      <c r="BO24" s="17">
        <v>0.86</v>
      </c>
      <c r="BP24" s="17">
        <v>0.64</v>
      </c>
      <c r="BQ24" s="107">
        <f>ROUND(('Annual Change'!BQ24/Population!BP24)*100,2)</f>
        <v>0.42</v>
      </c>
    </row>
    <row r="25" spans="1:69" x14ac:dyDescent="0.2">
      <c r="A25" s="20" t="s">
        <v>42</v>
      </c>
      <c r="B25" s="21" t="s">
        <v>43</v>
      </c>
      <c r="C25" s="25" t="s">
        <v>2</v>
      </c>
      <c r="D25" s="38">
        <v>1.06</v>
      </c>
      <c r="E25" s="39">
        <v>0.47</v>
      </c>
      <c r="F25" s="39">
        <v>0</v>
      </c>
      <c r="G25" s="39">
        <v>-0.24</v>
      </c>
      <c r="H25" s="39">
        <v>1.18</v>
      </c>
      <c r="I25" s="39">
        <v>1.17</v>
      </c>
      <c r="J25" s="39">
        <v>1.84</v>
      </c>
      <c r="K25" s="39">
        <v>2.4900000000000002</v>
      </c>
      <c r="L25" s="40">
        <v>0.88</v>
      </c>
      <c r="M25" s="69">
        <v>-0.51</v>
      </c>
      <c r="N25" s="38">
        <v>1.61</v>
      </c>
      <c r="O25" s="39">
        <v>0.43</v>
      </c>
      <c r="P25" s="39">
        <v>1.29</v>
      </c>
      <c r="Q25" s="39">
        <v>1.06</v>
      </c>
      <c r="R25" s="39">
        <v>2.5299999999999998</v>
      </c>
      <c r="S25" s="39">
        <v>0.82</v>
      </c>
      <c r="T25" s="39">
        <v>2.2400000000000002</v>
      </c>
      <c r="U25" s="39">
        <v>2.59</v>
      </c>
      <c r="V25" s="39">
        <v>3.88</v>
      </c>
      <c r="W25" s="40">
        <v>4.72</v>
      </c>
      <c r="X25" s="38">
        <v>0.11</v>
      </c>
      <c r="Y25" s="39">
        <v>0.05</v>
      </c>
      <c r="Z25" s="39">
        <v>-0.25</v>
      </c>
      <c r="AA25" s="39">
        <v>1.43</v>
      </c>
      <c r="AB25" s="39">
        <v>-0.32</v>
      </c>
      <c r="AC25" s="39">
        <v>0.25</v>
      </c>
      <c r="AD25" s="39">
        <v>0.72</v>
      </c>
      <c r="AE25" s="45">
        <v>1.24</v>
      </c>
      <c r="AF25" s="46">
        <v>1.1200000000000001</v>
      </c>
      <c r="AG25" s="52">
        <v>1.47</v>
      </c>
      <c r="AH25" s="50">
        <v>1.04</v>
      </c>
      <c r="AI25" s="39">
        <v>1.1499999999999999</v>
      </c>
      <c r="AJ25" s="39">
        <v>1.42</v>
      </c>
      <c r="AK25" s="39">
        <v>1.52</v>
      </c>
      <c r="AL25" s="39">
        <v>2.21</v>
      </c>
      <c r="AM25" s="39">
        <v>1.89</v>
      </c>
      <c r="AN25" s="39">
        <v>1.75</v>
      </c>
      <c r="AO25" s="39">
        <v>1.42</v>
      </c>
      <c r="AP25" s="39">
        <v>1.06</v>
      </c>
      <c r="AQ25" s="40">
        <v>1.1399999999999999</v>
      </c>
      <c r="AR25" s="38">
        <v>1.1299999999999999</v>
      </c>
      <c r="AS25" s="39">
        <v>1.05</v>
      </c>
      <c r="AT25" s="39">
        <v>0.42</v>
      </c>
      <c r="AU25" s="39">
        <v>0.95</v>
      </c>
      <c r="AV25" s="39">
        <v>1</v>
      </c>
      <c r="AW25" s="39">
        <v>1.77</v>
      </c>
      <c r="AX25" s="39">
        <v>1.35</v>
      </c>
      <c r="AY25" s="39">
        <v>1.1000000000000001</v>
      </c>
      <c r="AZ25" s="39">
        <v>0.62</v>
      </c>
      <c r="BA25" s="40">
        <v>0.2</v>
      </c>
      <c r="BB25" s="79">
        <v>1.1200000000000001</v>
      </c>
      <c r="BC25" s="80">
        <v>0.61</v>
      </c>
      <c r="BD25" s="80">
        <v>0.26</v>
      </c>
      <c r="BE25" s="81">
        <v>0.78</v>
      </c>
      <c r="BF25" s="82">
        <v>0.56999999999999995</v>
      </c>
      <c r="BG25" s="82">
        <v>0.71</v>
      </c>
      <c r="BH25" s="82">
        <v>1.17</v>
      </c>
      <c r="BI25" s="82">
        <v>0.97</v>
      </c>
      <c r="BJ25" s="82">
        <v>1.1200000000000001</v>
      </c>
      <c r="BK25" s="107">
        <v>1.23</v>
      </c>
      <c r="BL25" s="128">
        <v>0.67</v>
      </c>
      <c r="BM25" s="82">
        <v>0.85</v>
      </c>
      <c r="BN25" s="82">
        <v>0.81</v>
      </c>
      <c r="BO25" s="17">
        <v>1.04</v>
      </c>
      <c r="BP25" s="17">
        <v>0.71</v>
      </c>
      <c r="BQ25" s="107">
        <f>ROUND(('Annual Change'!BQ25/Population!BP25)*100,2)</f>
        <v>1.17</v>
      </c>
    </row>
    <row r="26" spans="1:69" x14ac:dyDescent="0.2">
      <c r="A26" s="20" t="s">
        <v>44</v>
      </c>
      <c r="B26" s="21" t="s">
        <v>45</v>
      </c>
      <c r="C26" s="25" t="s">
        <v>2</v>
      </c>
      <c r="D26" s="38">
        <v>-2.0099999999999998</v>
      </c>
      <c r="E26" s="39">
        <v>-0.93</v>
      </c>
      <c r="F26" s="39">
        <v>-1.89</v>
      </c>
      <c r="G26" s="39">
        <v>-1.92</v>
      </c>
      <c r="H26" s="39">
        <v>-0.98</v>
      </c>
      <c r="I26" s="39">
        <v>-0.99</v>
      </c>
      <c r="J26" s="39">
        <v>0</v>
      </c>
      <c r="K26" s="39">
        <v>0</v>
      </c>
      <c r="L26" s="40">
        <v>-3</v>
      </c>
      <c r="M26" s="69">
        <v>-1.32</v>
      </c>
      <c r="N26" s="38">
        <v>0.28999999999999998</v>
      </c>
      <c r="O26" s="39">
        <v>0</v>
      </c>
      <c r="P26" s="39">
        <v>0</v>
      </c>
      <c r="Q26" s="39">
        <v>-1.04</v>
      </c>
      <c r="R26" s="39">
        <v>0</v>
      </c>
      <c r="S26" s="39">
        <v>1.05</v>
      </c>
      <c r="T26" s="39">
        <v>0</v>
      </c>
      <c r="U26" s="39">
        <v>0</v>
      </c>
      <c r="V26" s="39">
        <v>0</v>
      </c>
      <c r="W26" s="40">
        <v>0.04</v>
      </c>
      <c r="X26" s="38">
        <v>-0.49</v>
      </c>
      <c r="Y26" s="39">
        <v>-0.77</v>
      </c>
      <c r="Z26" s="39">
        <v>-1.54</v>
      </c>
      <c r="AA26" s="39">
        <v>-0.51</v>
      </c>
      <c r="AB26" s="39">
        <v>-0.6</v>
      </c>
      <c r="AC26" s="39">
        <v>-2.9</v>
      </c>
      <c r="AD26" s="39">
        <v>-0.26</v>
      </c>
      <c r="AE26" s="45">
        <v>0.13</v>
      </c>
      <c r="AF26" s="46">
        <v>-0.46</v>
      </c>
      <c r="AG26" s="52">
        <v>-0.55000000000000004</v>
      </c>
      <c r="AH26" s="50">
        <v>0.85</v>
      </c>
      <c r="AI26" s="39">
        <v>0.38</v>
      </c>
      <c r="AJ26" s="39">
        <v>0.7</v>
      </c>
      <c r="AK26" s="39">
        <v>1.6</v>
      </c>
      <c r="AL26" s="39">
        <v>1.62</v>
      </c>
      <c r="AM26" s="39">
        <v>1.51</v>
      </c>
      <c r="AN26" s="39">
        <v>1.6</v>
      </c>
      <c r="AO26" s="39">
        <v>2.23</v>
      </c>
      <c r="AP26" s="39">
        <v>1.85</v>
      </c>
      <c r="AQ26" s="40">
        <v>1.64</v>
      </c>
      <c r="AR26" s="38">
        <v>1.33</v>
      </c>
      <c r="AS26" s="39">
        <v>-0.41</v>
      </c>
      <c r="AT26" s="39">
        <v>-1.19</v>
      </c>
      <c r="AU26" s="39">
        <v>1.48</v>
      </c>
      <c r="AV26" s="39">
        <v>0.6</v>
      </c>
      <c r="AW26" s="39">
        <v>0.66</v>
      </c>
      <c r="AX26" s="39">
        <v>0.97</v>
      </c>
      <c r="AY26" s="39">
        <v>0.88</v>
      </c>
      <c r="AZ26" s="39">
        <v>-0.05</v>
      </c>
      <c r="BA26" s="40">
        <v>-0.51</v>
      </c>
      <c r="BB26" s="79">
        <v>0.26</v>
      </c>
      <c r="BC26" s="80">
        <v>0.13</v>
      </c>
      <c r="BD26" s="80">
        <v>-0.34</v>
      </c>
      <c r="BE26" s="81">
        <v>-7.0000000000000007E-2</v>
      </c>
      <c r="BF26" s="82">
        <v>0.39</v>
      </c>
      <c r="BG26" s="82">
        <v>0.25</v>
      </c>
      <c r="BH26" s="82">
        <v>0.55000000000000004</v>
      </c>
      <c r="BI26" s="82">
        <v>0.7</v>
      </c>
      <c r="BJ26" s="82">
        <v>0.75</v>
      </c>
      <c r="BK26" s="107">
        <v>0.24</v>
      </c>
      <c r="BL26" s="128">
        <v>0.22</v>
      </c>
      <c r="BM26" s="82">
        <v>1.38</v>
      </c>
      <c r="BN26" s="82">
        <v>0.68</v>
      </c>
      <c r="BO26" s="17">
        <v>1.57</v>
      </c>
      <c r="BP26" s="17">
        <v>-0.44</v>
      </c>
      <c r="BQ26" s="107">
        <f>ROUND(('Annual Change'!BQ26/Population!BP26)*100,2)</f>
        <v>0.44</v>
      </c>
    </row>
    <row r="27" spans="1:69" x14ac:dyDescent="0.2">
      <c r="A27" s="20" t="s">
        <v>46</v>
      </c>
      <c r="B27" s="21" t="s">
        <v>47</v>
      </c>
      <c r="C27" s="25" t="s">
        <v>2</v>
      </c>
      <c r="D27" s="38">
        <v>1.53</v>
      </c>
      <c r="E27" s="39">
        <v>3.64</v>
      </c>
      <c r="F27" s="39">
        <v>0.57999999999999996</v>
      </c>
      <c r="G27" s="39">
        <v>1.1599999999999999</v>
      </c>
      <c r="H27" s="39">
        <v>2.2999999999999998</v>
      </c>
      <c r="I27" s="39">
        <v>3.37</v>
      </c>
      <c r="J27" s="39">
        <v>3.8</v>
      </c>
      <c r="K27" s="39">
        <v>2.62</v>
      </c>
      <c r="L27" s="40">
        <v>3.06</v>
      </c>
      <c r="M27" s="69">
        <v>3.55</v>
      </c>
      <c r="N27" s="38">
        <v>0.39</v>
      </c>
      <c r="O27" s="39">
        <v>-0.95</v>
      </c>
      <c r="P27" s="39">
        <v>1.44</v>
      </c>
      <c r="Q27" s="39">
        <v>4.74</v>
      </c>
      <c r="R27" s="39">
        <v>6.33</v>
      </c>
      <c r="S27" s="39">
        <v>6.38</v>
      </c>
      <c r="T27" s="39">
        <v>4</v>
      </c>
      <c r="U27" s="39">
        <v>5.77</v>
      </c>
      <c r="V27" s="39">
        <v>6.18</v>
      </c>
      <c r="W27" s="40">
        <v>6.79</v>
      </c>
      <c r="X27" s="38">
        <v>2.98</v>
      </c>
      <c r="Y27" s="39">
        <v>2.4300000000000002</v>
      </c>
      <c r="Z27" s="39">
        <v>2.52</v>
      </c>
      <c r="AA27" s="39">
        <v>3.73</v>
      </c>
      <c r="AB27" s="39">
        <v>0.41</v>
      </c>
      <c r="AC27" s="39">
        <v>1.66</v>
      </c>
      <c r="AD27" s="39">
        <v>1.63</v>
      </c>
      <c r="AE27" s="45">
        <v>1.93</v>
      </c>
      <c r="AF27" s="46">
        <v>2</v>
      </c>
      <c r="AG27" s="52">
        <v>1.62</v>
      </c>
      <c r="AH27" s="50">
        <v>2.95</v>
      </c>
      <c r="AI27" s="39">
        <v>2.66</v>
      </c>
      <c r="AJ27" s="39">
        <v>2.88</v>
      </c>
      <c r="AK27" s="39">
        <v>2.94</v>
      </c>
      <c r="AL27" s="39">
        <v>2.82</v>
      </c>
      <c r="AM27" s="39">
        <v>2.57</v>
      </c>
      <c r="AN27" s="39">
        <v>2.41</v>
      </c>
      <c r="AO27" s="39">
        <v>2.31</v>
      </c>
      <c r="AP27" s="39">
        <v>2.09</v>
      </c>
      <c r="AQ27" s="40">
        <v>2.06</v>
      </c>
      <c r="AR27" s="38">
        <v>1.1599999999999999</v>
      </c>
      <c r="AS27" s="39">
        <v>2</v>
      </c>
      <c r="AT27" s="39">
        <v>1.93</v>
      </c>
      <c r="AU27" s="39">
        <v>2.44</v>
      </c>
      <c r="AV27" s="39">
        <v>2.83</v>
      </c>
      <c r="AW27" s="39">
        <v>2.69</v>
      </c>
      <c r="AX27" s="39">
        <v>3.29</v>
      </c>
      <c r="AY27" s="39">
        <v>2.5299999999999998</v>
      </c>
      <c r="AZ27" s="39">
        <v>1.18</v>
      </c>
      <c r="BA27" s="40">
        <v>0.77</v>
      </c>
      <c r="BB27" s="79">
        <v>0.88</v>
      </c>
      <c r="BC27" s="80">
        <v>0.61</v>
      </c>
      <c r="BD27" s="80">
        <v>0.56000000000000005</v>
      </c>
      <c r="BE27" s="81">
        <v>0.66</v>
      </c>
      <c r="BF27" s="82">
        <v>0.28999999999999998</v>
      </c>
      <c r="BG27" s="82">
        <v>0.93</v>
      </c>
      <c r="BH27" s="82">
        <v>1.21</v>
      </c>
      <c r="BI27" s="82">
        <v>1.2</v>
      </c>
      <c r="BJ27" s="82">
        <v>0.66</v>
      </c>
      <c r="BK27" s="107">
        <v>0.99</v>
      </c>
      <c r="BL27" s="128">
        <v>0.04</v>
      </c>
      <c r="BM27" s="82">
        <v>0.68</v>
      </c>
      <c r="BN27" s="82">
        <v>1.21</v>
      </c>
      <c r="BO27" s="17">
        <v>0.71</v>
      </c>
      <c r="BP27" s="17">
        <v>0.48</v>
      </c>
      <c r="BQ27" s="107">
        <f>ROUND(('Annual Change'!BQ27/Population!BP27)*100,2)</f>
        <v>0.22</v>
      </c>
    </row>
    <row r="28" spans="1:69" x14ac:dyDescent="0.2">
      <c r="A28" s="20" t="s">
        <v>48</v>
      </c>
      <c r="B28" s="21" t="s">
        <v>49</v>
      </c>
      <c r="C28" s="25" t="s">
        <v>2</v>
      </c>
      <c r="D28" s="38">
        <v>-0.08</v>
      </c>
      <c r="E28" s="39">
        <v>-0.39</v>
      </c>
      <c r="F28" s="39">
        <v>-1.57</v>
      </c>
      <c r="G28" s="39">
        <v>0</v>
      </c>
      <c r="H28" s="39">
        <v>0.4</v>
      </c>
      <c r="I28" s="39">
        <v>-0.4</v>
      </c>
      <c r="J28" s="39">
        <v>0.8</v>
      </c>
      <c r="K28" s="39">
        <v>1.59</v>
      </c>
      <c r="L28" s="40">
        <v>-1.95</v>
      </c>
      <c r="M28" s="69">
        <v>3.06</v>
      </c>
      <c r="N28" s="38">
        <v>1.67</v>
      </c>
      <c r="O28" s="39">
        <v>0.38</v>
      </c>
      <c r="P28" s="39">
        <v>-1.1399999999999999</v>
      </c>
      <c r="Q28" s="39">
        <v>0.77</v>
      </c>
      <c r="R28" s="39">
        <v>1.9</v>
      </c>
      <c r="S28" s="39">
        <v>2.99</v>
      </c>
      <c r="T28" s="39">
        <v>2.54</v>
      </c>
      <c r="U28" s="39">
        <v>2.83</v>
      </c>
      <c r="V28" s="39">
        <v>3.09</v>
      </c>
      <c r="W28" s="40">
        <v>2.21</v>
      </c>
      <c r="X28" s="38">
        <v>1.73</v>
      </c>
      <c r="Y28" s="39">
        <v>1.69</v>
      </c>
      <c r="Z28" s="39">
        <v>2.0299999999999998</v>
      </c>
      <c r="AA28" s="39">
        <v>0.88</v>
      </c>
      <c r="AB28" s="39">
        <v>0.12</v>
      </c>
      <c r="AC28" s="39">
        <v>-0.41</v>
      </c>
      <c r="AD28" s="39">
        <v>0.22</v>
      </c>
      <c r="AE28" s="45">
        <v>0.63</v>
      </c>
      <c r="AF28" s="46">
        <v>0.67</v>
      </c>
      <c r="AG28" s="52">
        <v>0.91</v>
      </c>
      <c r="AH28" s="50">
        <v>1.45</v>
      </c>
      <c r="AI28" s="39">
        <v>1.64</v>
      </c>
      <c r="AJ28" s="39">
        <v>1.79</v>
      </c>
      <c r="AK28" s="39">
        <v>2.0099999999999998</v>
      </c>
      <c r="AL28" s="39">
        <v>2.78</v>
      </c>
      <c r="AM28" s="39">
        <v>2.1800000000000002</v>
      </c>
      <c r="AN28" s="39">
        <v>1.96</v>
      </c>
      <c r="AO28" s="39">
        <v>1.03</v>
      </c>
      <c r="AP28" s="39">
        <v>1.1299999999999999</v>
      </c>
      <c r="AQ28" s="40">
        <v>1.27</v>
      </c>
      <c r="AR28" s="38">
        <v>0.67</v>
      </c>
      <c r="AS28" s="39">
        <v>0.41</v>
      </c>
      <c r="AT28" s="39">
        <v>0.01</v>
      </c>
      <c r="AU28" s="39">
        <v>0.42</v>
      </c>
      <c r="AV28" s="39">
        <v>0.27</v>
      </c>
      <c r="AW28" s="39">
        <v>0.97</v>
      </c>
      <c r="AX28" s="39">
        <v>-0.56000000000000005</v>
      </c>
      <c r="AY28" s="39">
        <v>0.4</v>
      </c>
      <c r="AZ28" s="39">
        <v>0.93</v>
      </c>
      <c r="BA28" s="40">
        <v>0.37</v>
      </c>
      <c r="BB28" s="79">
        <v>0.37</v>
      </c>
      <c r="BC28" s="80">
        <v>0.12</v>
      </c>
      <c r="BD28" s="80">
        <v>0.17</v>
      </c>
      <c r="BE28" s="81">
        <v>0.36</v>
      </c>
      <c r="BF28" s="82">
        <v>0.19</v>
      </c>
      <c r="BG28" s="82">
        <v>0.41</v>
      </c>
      <c r="BH28" s="82">
        <v>0.1</v>
      </c>
      <c r="BI28" s="82">
        <v>0.22</v>
      </c>
      <c r="BJ28" s="82">
        <v>0.16</v>
      </c>
      <c r="BK28" s="107">
        <v>0.26</v>
      </c>
      <c r="BL28" s="128">
        <v>0.57999999999999996</v>
      </c>
      <c r="BM28" s="82">
        <v>0.83</v>
      </c>
      <c r="BN28" s="82">
        <v>0.7</v>
      </c>
      <c r="BO28" s="17">
        <v>0.47</v>
      </c>
      <c r="BP28" s="17">
        <v>0.46</v>
      </c>
      <c r="BQ28" s="107">
        <f>ROUND(('Annual Change'!BQ28/Population!BP28)*100,2)</f>
        <v>0.23</v>
      </c>
    </row>
    <row r="29" spans="1:69" x14ac:dyDescent="0.2">
      <c r="A29" s="20" t="s">
        <v>35</v>
      </c>
      <c r="B29" s="21" t="s">
        <v>50</v>
      </c>
      <c r="C29" s="25" t="s">
        <v>2</v>
      </c>
      <c r="D29" s="38">
        <v>-1.19</v>
      </c>
      <c r="E29" s="39">
        <v>1.38</v>
      </c>
      <c r="F29" s="39">
        <v>1.36</v>
      </c>
      <c r="G29" s="39">
        <v>-1.34</v>
      </c>
      <c r="H29" s="39">
        <v>0</v>
      </c>
      <c r="I29" s="39">
        <v>2.04</v>
      </c>
      <c r="J29" s="39">
        <v>-3.33</v>
      </c>
      <c r="K29" s="39">
        <v>2.0699999999999998</v>
      </c>
      <c r="L29" s="40">
        <v>3.38</v>
      </c>
      <c r="M29" s="69">
        <v>3.24</v>
      </c>
      <c r="N29" s="38">
        <v>-1.24</v>
      </c>
      <c r="O29" s="39">
        <v>-1.28</v>
      </c>
      <c r="P29" s="39">
        <v>0.65</v>
      </c>
      <c r="Q29" s="39">
        <v>1.29</v>
      </c>
      <c r="R29" s="39">
        <v>0.64</v>
      </c>
      <c r="S29" s="39">
        <v>1.9</v>
      </c>
      <c r="T29" s="39">
        <v>1.24</v>
      </c>
      <c r="U29" s="39">
        <v>2.4500000000000002</v>
      </c>
      <c r="V29" s="39">
        <v>1.2</v>
      </c>
      <c r="W29" s="40">
        <v>1.99</v>
      </c>
      <c r="X29" s="38">
        <v>2.5099999999999998</v>
      </c>
      <c r="Y29" s="39">
        <v>0.36</v>
      </c>
      <c r="Z29" s="39">
        <v>0.82</v>
      </c>
      <c r="AA29" s="39">
        <v>0.25</v>
      </c>
      <c r="AB29" s="39">
        <v>-0.88</v>
      </c>
      <c r="AC29" s="39">
        <v>-0.41</v>
      </c>
      <c r="AD29" s="39">
        <v>0.23</v>
      </c>
      <c r="AE29" s="45">
        <v>2.5099999999999998</v>
      </c>
      <c r="AF29" s="46">
        <v>1.37</v>
      </c>
      <c r="AG29" s="52">
        <v>2.4700000000000002</v>
      </c>
      <c r="AH29" s="50">
        <v>0.75</v>
      </c>
      <c r="AI29" s="39">
        <v>1.04</v>
      </c>
      <c r="AJ29" s="39">
        <v>1.19</v>
      </c>
      <c r="AK29" s="39">
        <v>1.29</v>
      </c>
      <c r="AL29" s="39">
        <v>1.47</v>
      </c>
      <c r="AM29" s="39">
        <v>1.25</v>
      </c>
      <c r="AN29" s="39">
        <v>0.89</v>
      </c>
      <c r="AO29" s="39">
        <v>1.1499999999999999</v>
      </c>
      <c r="AP29" s="39">
        <v>0.81</v>
      </c>
      <c r="AQ29" s="40">
        <v>0.77</v>
      </c>
      <c r="AR29" s="38">
        <v>-0.16</v>
      </c>
      <c r="AS29" s="39">
        <v>-0.37</v>
      </c>
      <c r="AT29" s="39">
        <v>-1.02</v>
      </c>
      <c r="AU29" s="39">
        <v>0</v>
      </c>
      <c r="AV29" s="39">
        <v>0.06</v>
      </c>
      <c r="AW29" s="39">
        <v>1.1100000000000001</v>
      </c>
      <c r="AX29" s="39">
        <v>-0.55000000000000004</v>
      </c>
      <c r="AY29" s="39">
        <v>-0.19</v>
      </c>
      <c r="AZ29" s="39">
        <v>0.66</v>
      </c>
      <c r="BA29" s="40">
        <v>0.15</v>
      </c>
      <c r="BB29" s="79">
        <v>0.97</v>
      </c>
      <c r="BC29" s="80">
        <v>1.08</v>
      </c>
      <c r="BD29" s="80">
        <v>0.99</v>
      </c>
      <c r="BE29" s="81">
        <v>0.96</v>
      </c>
      <c r="BF29" s="82">
        <v>0.96</v>
      </c>
      <c r="BG29" s="82">
        <v>1.1599999999999999</v>
      </c>
      <c r="BH29" s="82">
        <v>1.0900000000000001</v>
      </c>
      <c r="BI29" s="82">
        <v>1.1499999999999999</v>
      </c>
      <c r="BJ29" s="82">
        <v>0.97</v>
      </c>
      <c r="BK29" s="107">
        <v>1.77</v>
      </c>
      <c r="BL29" s="128">
        <v>0.26</v>
      </c>
      <c r="BM29" s="82">
        <v>0.75</v>
      </c>
      <c r="BN29" s="82">
        <v>0.74</v>
      </c>
      <c r="BO29" s="17">
        <v>0.74</v>
      </c>
      <c r="BP29" s="17">
        <v>0</v>
      </c>
      <c r="BQ29" s="107">
        <f>ROUND(('Annual Change'!BQ29/Population!BP29)*100,2)</f>
        <v>0</v>
      </c>
    </row>
    <row r="30" spans="1:69" x14ac:dyDescent="0.2">
      <c r="A30" s="20" t="s">
        <v>51</v>
      </c>
      <c r="B30" s="21" t="s">
        <v>52</v>
      </c>
      <c r="C30" s="25" t="s">
        <v>2</v>
      </c>
      <c r="D30" s="38">
        <v>-3.1</v>
      </c>
      <c r="E30" s="39">
        <v>1.49</v>
      </c>
      <c r="F30" s="39">
        <v>-4.41</v>
      </c>
      <c r="G30" s="39">
        <v>-3.08</v>
      </c>
      <c r="H30" s="39">
        <v>-3.17</v>
      </c>
      <c r="I30" s="39">
        <v>1.64</v>
      </c>
      <c r="J30" s="39">
        <v>-1.61</v>
      </c>
      <c r="K30" s="39">
        <v>-1.64</v>
      </c>
      <c r="L30" s="40">
        <v>0</v>
      </c>
      <c r="M30" s="69">
        <v>0.42</v>
      </c>
      <c r="N30" s="38">
        <v>2.9</v>
      </c>
      <c r="O30" s="39">
        <v>3.23</v>
      </c>
      <c r="P30" s="39">
        <v>4.6900000000000004</v>
      </c>
      <c r="Q30" s="39">
        <v>5.97</v>
      </c>
      <c r="R30" s="39">
        <v>7.04</v>
      </c>
      <c r="S30" s="39">
        <v>2.63</v>
      </c>
      <c r="T30" s="39">
        <v>2.56</v>
      </c>
      <c r="U30" s="39">
        <v>3.75</v>
      </c>
      <c r="V30" s="39">
        <v>1.2</v>
      </c>
      <c r="W30" s="40">
        <v>2.14</v>
      </c>
      <c r="X30" s="38">
        <v>1.1200000000000001</v>
      </c>
      <c r="Y30" s="39">
        <v>-0.27</v>
      </c>
      <c r="Z30" s="39">
        <v>1.02</v>
      </c>
      <c r="AA30" s="39">
        <v>0.42</v>
      </c>
      <c r="AB30" s="39">
        <v>-0.39</v>
      </c>
      <c r="AC30" s="39">
        <v>0.19</v>
      </c>
      <c r="AD30" s="39">
        <v>0.14000000000000001</v>
      </c>
      <c r="AE30" s="45">
        <v>0.02</v>
      </c>
      <c r="AF30" s="46">
        <v>0.08</v>
      </c>
      <c r="AG30" s="52">
        <v>1.51</v>
      </c>
      <c r="AH30" s="50">
        <v>2.68</v>
      </c>
      <c r="AI30" s="39">
        <v>2.17</v>
      </c>
      <c r="AJ30" s="39">
        <v>2.93</v>
      </c>
      <c r="AK30" s="39">
        <v>3.02</v>
      </c>
      <c r="AL30" s="39">
        <v>3.52</v>
      </c>
      <c r="AM30" s="39">
        <v>3.04</v>
      </c>
      <c r="AN30" s="39">
        <v>2.63</v>
      </c>
      <c r="AO30" s="39">
        <v>2.66</v>
      </c>
      <c r="AP30" s="39">
        <v>2.54</v>
      </c>
      <c r="AQ30" s="40">
        <v>2.65</v>
      </c>
      <c r="AR30" s="38">
        <v>1.54</v>
      </c>
      <c r="AS30" s="39">
        <v>0.84</v>
      </c>
      <c r="AT30" s="39">
        <v>0.92</v>
      </c>
      <c r="AU30" s="39">
        <v>0.56000000000000005</v>
      </c>
      <c r="AV30" s="39">
        <v>1.2</v>
      </c>
      <c r="AW30" s="39">
        <v>1.03</v>
      </c>
      <c r="AX30" s="39">
        <v>1.85</v>
      </c>
      <c r="AY30" s="39">
        <v>1.18</v>
      </c>
      <c r="AZ30" s="39">
        <v>0.75</v>
      </c>
      <c r="BA30" s="40">
        <v>0.47</v>
      </c>
      <c r="BB30" s="79">
        <v>0.48</v>
      </c>
      <c r="BC30" s="80">
        <v>0.34</v>
      </c>
      <c r="BD30" s="80">
        <v>0.03</v>
      </c>
      <c r="BE30" s="81">
        <v>0.23</v>
      </c>
      <c r="BF30" s="82">
        <v>7.0000000000000007E-2</v>
      </c>
      <c r="BG30" s="82">
        <v>0.23</v>
      </c>
      <c r="BH30" s="82">
        <v>0.36</v>
      </c>
      <c r="BI30" s="82">
        <v>0.28999999999999998</v>
      </c>
      <c r="BJ30" s="82">
        <v>0.44</v>
      </c>
      <c r="BK30" s="107">
        <v>0.56000000000000005</v>
      </c>
      <c r="BL30" s="128">
        <v>0.55000000000000004</v>
      </c>
      <c r="BM30" s="82">
        <v>1.1100000000000001</v>
      </c>
      <c r="BN30" s="82">
        <v>0.73</v>
      </c>
      <c r="BO30" s="17">
        <v>0.91</v>
      </c>
      <c r="BP30" s="17">
        <v>0.72</v>
      </c>
      <c r="BQ30" s="107">
        <f>ROUND(('Annual Change'!BQ30/Population!BP30)*100,2)</f>
        <v>1.08</v>
      </c>
    </row>
    <row r="31" spans="1:69" x14ac:dyDescent="0.2">
      <c r="A31" s="20" t="s">
        <v>53</v>
      </c>
      <c r="B31" s="21" t="s">
        <v>54</v>
      </c>
      <c r="C31" s="25" t="s">
        <v>2</v>
      </c>
      <c r="D31" s="38">
        <v>2.34</v>
      </c>
      <c r="E31" s="39">
        <v>2.4900000000000002</v>
      </c>
      <c r="F31" s="39">
        <v>1.6</v>
      </c>
      <c r="G31" s="39">
        <v>1.9</v>
      </c>
      <c r="H31" s="39">
        <v>2.69</v>
      </c>
      <c r="I31" s="39">
        <v>2.73</v>
      </c>
      <c r="J31" s="39">
        <v>4.04</v>
      </c>
      <c r="K31" s="39">
        <v>3.86</v>
      </c>
      <c r="L31" s="40">
        <v>3.49</v>
      </c>
      <c r="M31" s="69">
        <v>0.08</v>
      </c>
      <c r="N31" s="38">
        <v>2.56</v>
      </c>
      <c r="O31" s="39">
        <v>-4.71</v>
      </c>
      <c r="P31" s="39">
        <v>-0.72</v>
      </c>
      <c r="Q31" s="39">
        <v>3.35</v>
      </c>
      <c r="R31" s="39">
        <v>1.96</v>
      </c>
      <c r="S31" s="39">
        <v>2.1800000000000002</v>
      </c>
      <c r="T31" s="39">
        <v>1.35</v>
      </c>
      <c r="U31" s="39">
        <v>4.1500000000000004</v>
      </c>
      <c r="V31" s="39">
        <v>3.14</v>
      </c>
      <c r="W31" s="40">
        <v>3.55</v>
      </c>
      <c r="X31" s="38">
        <v>3.41</v>
      </c>
      <c r="Y31" s="39">
        <v>0.72</v>
      </c>
      <c r="Z31" s="39">
        <v>1.32</v>
      </c>
      <c r="AA31" s="39">
        <v>1.55</v>
      </c>
      <c r="AB31" s="39">
        <v>1.78</v>
      </c>
      <c r="AC31" s="39">
        <v>1.23</v>
      </c>
      <c r="AD31" s="39">
        <v>1.87</v>
      </c>
      <c r="AE31" s="45">
        <v>2.19</v>
      </c>
      <c r="AF31" s="46">
        <v>2.74</v>
      </c>
      <c r="AG31" s="52">
        <v>2.2000000000000002</v>
      </c>
      <c r="AH31" s="50">
        <v>2.02</v>
      </c>
      <c r="AI31" s="39">
        <v>2.1</v>
      </c>
      <c r="AJ31" s="39">
        <v>2.14</v>
      </c>
      <c r="AK31" s="39">
        <v>2.1</v>
      </c>
      <c r="AL31" s="39">
        <v>1.96</v>
      </c>
      <c r="AM31" s="39">
        <v>0.6</v>
      </c>
      <c r="AN31" s="39">
        <v>1.66</v>
      </c>
      <c r="AO31" s="39">
        <v>1.74</v>
      </c>
      <c r="AP31" s="39">
        <v>1.96</v>
      </c>
      <c r="AQ31" s="40">
        <v>1.73</v>
      </c>
      <c r="AR31" s="38">
        <v>1.21</v>
      </c>
      <c r="AS31" s="39">
        <v>1.67</v>
      </c>
      <c r="AT31" s="39">
        <v>1.5</v>
      </c>
      <c r="AU31" s="39">
        <v>1.6</v>
      </c>
      <c r="AV31" s="39">
        <v>1.78</v>
      </c>
      <c r="AW31" s="39">
        <v>2.2599999999999998</v>
      </c>
      <c r="AX31" s="39">
        <v>1.66</v>
      </c>
      <c r="AY31" s="39">
        <v>0.94</v>
      </c>
      <c r="AZ31" s="39">
        <v>0.32</v>
      </c>
      <c r="BA31" s="40">
        <v>-0.21</v>
      </c>
      <c r="BB31" s="79">
        <v>1.38</v>
      </c>
      <c r="BC31" s="80">
        <v>1</v>
      </c>
      <c r="BD31" s="80">
        <v>1.08</v>
      </c>
      <c r="BE31" s="81">
        <v>1.4</v>
      </c>
      <c r="BF31" s="82">
        <v>1.29</v>
      </c>
      <c r="BG31" s="82">
        <v>2.04</v>
      </c>
      <c r="BH31" s="82">
        <v>1.78</v>
      </c>
      <c r="BI31" s="82">
        <v>1.57</v>
      </c>
      <c r="BJ31" s="82">
        <v>1.59</v>
      </c>
      <c r="BK31" s="107">
        <v>1.61</v>
      </c>
      <c r="BL31" s="128">
        <v>0.85</v>
      </c>
      <c r="BM31" s="82">
        <v>0.99</v>
      </c>
      <c r="BN31" s="82">
        <v>0.95</v>
      </c>
      <c r="BO31" s="17">
        <v>0.67</v>
      </c>
      <c r="BP31" s="17">
        <v>0.77</v>
      </c>
      <c r="BQ31" s="107">
        <f>ROUND(('Annual Change'!BQ31/Population!BP31)*100,2)</f>
        <v>0.74</v>
      </c>
    </row>
    <row r="32" spans="1:69" x14ac:dyDescent="0.2">
      <c r="A32" s="20" t="s">
        <v>55</v>
      </c>
      <c r="B32" s="21" t="s">
        <v>56</v>
      </c>
      <c r="C32" s="25" t="s">
        <v>2</v>
      </c>
      <c r="D32" s="38">
        <v>0.97</v>
      </c>
      <c r="E32" s="39">
        <v>0</v>
      </c>
      <c r="F32" s="39">
        <v>3.45</v>
      </c>
      <c r="G32" s="39">
        <v>0</v>
      </c>
      <c r="H32" s="39">
        <v>3.33</v>
      </c>
      <c r="I32" s="39">
        <v>0</v>
      </c>
      <c r="J32" s="39">
        <v>9.68</v>
      </c>
      <c r="K32" s="39">
        <v>5.88</v>
      </c>
      <c r="L32" s="40">
        <v>0</v>
      </c>
      <c r="M32" s="69">
        <v>7.11</v>
      </c>
      <c r="N32" s="38">
        <v>6.33</v>
      </c>
      <c r="O32" s="39">
        <v>12.2</v>
      </c>
      <c r="P32" s="39">
        <v>8.6999999999999993</v>
      </c>
      <c r="Q32" s="39">
        <v>8</v>
      </c>
      <c r="R32" s="39">
        <v>0</v>
      </c>
      <c r="S32" s="39">
        <v>5.56</v>
      </c>
      <c r="T32" s="39">
        <v>7.02</v>
      </c>
      <c r="U32" s="39">
        <v>9.84</v>
      </c>
      <c r="V32" s="39">
        <v>8.9600000000000009</v>
      </c>
      <c r="W32" s="40">
        <v>7.37</v>
      </c>
      <c r="X32" s="38">
        <v>3.23</v>
      </c>
      <c r="Y32" s="39">
        <v>3.23</v>
      </c>
      <c r="Z32" s="39">
        <v>2.17</v>
      </c>
      <c r="AA32" s="39">
        <v>3.11</v>
      </c>
      <c r="AB32" s="39">
        <v>1.2</v>
      </c>
      <c r="AC32" s="39">
        <v>2.62</v>
      </c>
      <c r="AD32" s="39">
        <v>1.21</v>
      </c>
      <c r="AE32" s="45">
        <v>2.17</v>
      </c>
      <c r="AF32" s="46">
        <v>2.0099999999999998</v>
      </c>
      <c r="AG32" s="52">
        <v>4.1100000000000003</v>
      </c>
      <c r="AH32" s="50">
        <v>7.45</v>
      </c>
      <c r="AI32" s="39">
        <v>5.53</v>
      </c>
      <c r="AJ32" s="39">
        <v>5.89</v>
      </c>
      <c r="AK32" s="39">
        <v>2.99</v>
      </c>
      <c r="AL32" s="39">
        <v>2.72</v>
      </c>
      <c r="AM32" s="39">
        <v>0.67</v>
      </c>
      <c r="AN32" s="39">
        <v>0.9</v>
      </c>
      <c r="AO32" s="39">
        <v>0.72</v>
      </c>
      <c r="AP32" s="39">
        <v>3.56</v>
      </c>
      <c r="AQ32" s="40">
        <v>4.2300000000000004</v>
      </c>
      <c r="AR32" s="38">
        <v>2.31</v>
      </c>
      <c r="AS32" s="39">
        <v>1.82</v>
      </c>
      <c r="AT32" s="39">
        <v>0.74</v>
      </c>
      <c r="AU32" s="39">
        <v>1.1000000000000001</v>
      </c>
      <c r="AV32" s="39">
        <v>1.64</v>
      </c>
      <c r="AW32" s="39">
        <v>1.31</v>
      </c>
      <c r="AX32" s="39">
        <v>0.68</v>
      </c>
      <c r="AY32" s="39">
        <v>0.98</v>
      </c>
      <c r="AZ32" s="39">
        <v>0.67</v>
      </c>
      <c r="BA32" s="40">
        <v>0.2</v>
      </c>
      <c r="BB32" s="79">
        <v>1.1200000000000001</v>
      </c>
      <c r="BC32" s="80">
        <v>0.69</v>
      </c>
      <c r="BD32" s="80">
        <v>1.1299999999999999</v>
      </c>
      <c r="BE32" s="81">
        <v>1.1299999999999999</v>
      </c>
      <c r="BF32" s="82">
        <v>0.91</v>
      </c>
      <c r="BG32" s="82">
        <v>1.23</v>
      </c>
      <c r="BH32" s="82">
        <v>0.94</v>
      </c>
      <c r="BI32" s="82">
        <v>1.64</v>
      </c>
      <c r="BJ32" s="82">
        <v>1.62</v>
      </c>
      <c r="BK32" s="107">
        <v>1.72</v>
      </c>
      <c r="BL32" s="128">
        <v>0.35</v>
      </c>
      <c r="BM32" s="82">
        <v>1.68</v>
      </c>
      <c r="BN32" s="82">
        <v>1.1000000000000001</v>
      </c>
      <c r="BO32" s="17">
        <v>0.68</v>
      </c>
      <c r="BP32" s="17">
        <v>0.41</v>
      </c>
      <c r="BQ32" s="107">
        <f>ROUND(('Annual Change'!BQ32/Population!BP32)*100,2)</f>
        <v>0.54</v>
      </c>
    </row>
    <row r="33" spans="1:69" x14ac:dyDescent="0.2">
      <c r="A33" s="20" t="s">
        <v>57</v>
      </c>
      <c r="B33" s="21" t="s">
        <v>58</v>
      </c>
      <c r="C33" s="25" t="s">
        <v>2</v>
      </c>
      <c r="D33" s="38">
        <v>-0.1</v>
      </c>
      <c r="E33" s="39">
        <v>0.57999999999999996</v>
      </c>
      <c r="F33" s="39">
        <v>-0.97</v>
      </c>
      <c r="G33" s="39">
        <v>-0.59</v>
      </c>
      <c r="H33" s="39">
        <v>0.2</v>
      </c>
      <c r="I33" s="39">
        <v>0.59</v>
      </c>
      <c r="J33" s="39">
        <v>1.56</v>
      </c>
      <c r="K33" s="39">
        <v>1.1499999999999999</v>
      </c>
      <c r="L33" s="40">
        <v>-1.1399999999999999</v>
      </c>
      <c r="M33" s="69">
        <v>0.73</v>
      </c>
      <c r="N33" s="38">
        <v>0.61</v>
      </c>
      <c r="O33" s="39">
        <v>-1.33</v>
      </c>
      <c r="P33" s="39">
        <v>0.19</v>
      </c>
      <c r="Q33" s="39">
        <v>2.5</v>
      </c>
      <c r="R33" s="39">
        <v>1.31</v>
      </c>
      <c r="S33" s="39">
        <v>2.2200000000000002</v>
      </c>
      <c r="T33" s="39">
        <v>1.63</v>
      </c>
      <c r="U33" s="39">
        <v>3.38</v>
      </c>
      <c r="V33" s="39">
        <v>3.96</v>
      </c>
      <c r="W33" s="40">
        <v>6.19</v>
      </c>
      <c r="X33" s="38">
        <v>1.24</v>
      </c>
      <c r="Y33" s="39">
        <v>2.86</v>
      </c>
      <c r="Z33" s="39">
        <v>2.37</v>
      </c>
      <c r="AA33" s="39">
        <v>0.39</v>
      </c>
      <c r="AB33" s="39">
        <v>1.22</v>
      </c>
      <c r="AC33" s="39">
        <v>2.15</v>
      </c>
      <c r="AD33" s="39">
        <v>0.59</v>
      </c>
      <c r="AE33" s="45">
        <v>2.83</v>
      </c>
      <c r="AF33" s="46">
        <v>3.01</v>
      </c>
      <c r="AG33" s="52">
        <v>5.2</v>
      </c>
      <c r="AH33" s="50">
        <v>4.0999999999999996</v>
      </c>
      <c r="AI33" s="39">
        <v>2.68</v>
      </c>
      <c r="AJ33" s="39">
        <v>2.97</v>
      </c>
      <c r="AK33" s="39">
        <v>2.94</v>
      </c>
      <c r="AL33" s="39">
        <v>2.78</v>
      </c>
      <c r="AM33" s="39">
        <v>2.33</v>
      </c>
      <c r="AN33" s="39">
        <v>2.29</v>
      </c>
      <c r="AO33" s="39">
        <v>1.86</v>
      </c>
      <c r="AP33" s="39">
        <v>1.69</v>
      </c>
      <c r="AQ33" s="40">
        <v>2.5499999999999998</v>
      </c>
      <c r="AR33" s="38">
        <v>1.23</v>
      </c>
      <c r="AS33" s="39">
        <v>1.55</v>
      </c>
      <c r="AT33" s="39">
        <v>0.74</v>
      </c>
      <c r="AU33" s="39">
        <v>1.73</v>
      </c>
      <c r="AV33" s="39">
        <v>1.37</v>
      </c>
      <c r="AW33" s="39">
        <v>1.94</v>
      </c>
      <c r="AX33" s="39">
        <v>1.59</v>
      </c>
      <c r="AY33" s="39">
        <v>1.35</v>
      </c>
      <c r="AZ33" s="39">
        <v>1.03</v>
      </c>
      <c r="BA33" s="40">
        <v>0.25</v>
      </c>
      <c r="BB33" s="79">
        <v>0.61</v>
      </c>
      <c r="BC33" s="80">
        <v>0.61</v>
      </c>
      <c r="BD33" s="80">
        <v>0.75</v>
      </c>
      <c r="BE33" s="81">
        <v>0.82</v>
      </c>
      <c r="BF33" s="82">
        <v>0.81</v>
      </c>
      <c r="BG33" s="82">
        <v>1.07</v>
      </c>
      <c r="BH33" s="82">
        <v>1.03</v>
      </c>
      <c r="BI33" s="82">
        <v>1.75</v>
      </c>
      <c r="BJ33" s="82">
        <v>1.7</v>
      </c>
      <c r="BK33" s="107">
        <v>1.1599999999999999</v>
      </c>
      <c r="BL33" s="128">
        <v>0.37</v>
      </c>
      <c r="BM33" s="82">
        <v>0.96</v>
      </c>
      <c r="BN33" s="82">
        <v>0.56999999999999995</v>
      </c>
      <c r="BO33" s="17">
        <v>0.98</v>
      </c>
      <c r="BP33" s="17">
        <v>0.98</v>
      </c>
      <c r="BQ33" s="107">
        <f>ROUND(('Annual Change'!BQ33/Population!BP33)*100,2)</f>
        <v>0.56000000000000005</v>
      </c>
    </row>
    <row r="34" spans="1:69" x14ac:dyDescent="0.2">
      <c r="A34" s="20" t="s">
        <v>59</v>
      </c>
      <c r="B34" s="21" t="s">
        <v>60</v>
      </c>
      <c r="C34" s="25" t="s">
        <v>2</v>
      </c>
      <c r="D34" s="38">
        <v>-0.13</v>
      </c>
      <c r="E34" s="39">
        <v>1.92</v>
      </c>
      <c r="F34" s="39">
        <v>1.89</v>
      </c>
      <c r="G34" s="39">
        <v>0</v>
      </c>
      <c r="H34" s="39">
        <v>1.85</v>
      </c>
      <c r="I34" s="39">
        <v>-3.64</v>
      </c>
      <c r="J34" s="39">
        <v>3.77</v>
      </c>
      <c r="K34" s="39">
        <v>3.64</v>
      </c>
      <c r="L34" s="40">
        <v>0</v>
      </c>
      <c r="M34" s="69">
        <v>2.54</v>
      </c>
      <c r="N34" s="38">
        <v>0.94</v>
      </c>
      <c r="O34" s="39">
        <v>3.39</v>
      </c>
      <c r="P34" s="39">
        <v>0</v>
      </c>
      <c r="Q34" s="39">
        <v>4.92</v>
      </c>
      <c r="R34" s="39">
        <v>-1.56</v>
      </c>
      <c r="S34" s="39">
        <v>-1.59</v>
      </c>
      <c r="T34" s="39">
        <v>9.68</v>
      </c>
      <c r="U34" s="39">
        <v>1.47</v>
      </c>
      <c r="V34" s="39">
        <v>7.25</v>
      </c>
      <c r="W34" s="40">
        <v>7.01</v>
      </c>
      <c r="X34" s="38">
        <v>-0.88</v>
      </c>
      <c r="Y34" s="39">
        <v>0.51</v>
      </c>
      <c r="Z34" s="39">
        <v>0.99</v>
      </c>
      <c r="AA34" s="39">
        <v>0.08</v>
      </c>
      <c r="AB34" s="39">
        <v>-0.34</v>
      </c>
      <c r="AC34" s="39">
        <v>0.01</v>
      </c>
      <c r="AD34" s="39">
        <v>1.45</v>
      </c>
      <c r="AE34" s="45">
        <v>0.55000000000000004</v>
      </c>
      <c r="AF34" s="46">
        <v>1.17</v>
      </c>
      <c r="AG34" s="52">
        <v>1.07</v>
      </c>
      <c r="AH34" s="50">
        <v>2.93</v>
      </c>
      <c r="AI34" s="39">
        <v>1.0900000000000001</v>
      </c>
      <c r="AJ34" s="39">
        <v>1.29</v>
      </c>
      <c r="AK34" s="39">
        <v>1.97</v>
      </c>
      <c r="AL34" s="39">
        <v>1.67</v>
      </c>
      <c r="AM34" s="39">
        <v>1.98</v>
      </c>
      <c r="AN34" s="39">
        <v>1.8</v>
      </c>
      <c r="AO34" s="39">
        <v>1.66</v>
      </c>
      <c r="AP34" s="39">
        <v>1.95</v>
      </c>
      <c r="AQ34" s="40">
        <v>1.31</v>
      </c>
      <c r="AR34" s="38">
        <v>0.7</v>
      </c>
      <c r="AS34" s="39">
        <v>1.05</v>
      </c>
      <c r="AT34" s="39">
        <v>0.72</v>
      </c>
      <c r="AU34" s="39">
        <v>1.65</v>
      </c>
      <c r="AV34" s="39">
        <v>2.25</v>
      </c>
      <c r="AW34" s="39">
        <v>2.4900000000000002</v>
      </c>
      <c r="AX34" s="39">
        <v>1.07</v>
      </c>
      <c r="AY34" s="39">
        <v>0.45</v>
      </c>
      <c r="AZ34" s="39">
        <v>0.49</v>
      </c>
      <c r="BA34" s="40">
        <v>0.65</v>
      </c>
      <c r="BB34" s="79">
        <v>0.26</v>
      </c>
      <c r="BC34" s="80">
        <v>0.51</v>
      </c>
      <c r="BD34" s="80">
        <v>0.13</v>
      </c>
      <c r="BE34" s="81">
        <v>0.22</v>
      </c>
      <c r="BF34" s="82">
        <v>0.16</v>
      </c>
      <c r="BG34" s="82">
        <v>0.42</v>
      </c>
      <c r="BH34" s="82">
        <v>0.67</v>
      </c>
      <c r="BI34" s="82">
        <v>0.71</v>
      </c>
      <c r="BJ34" s="82">
        <v>0.92</v>
      </c>
      <c r="BK34" s="107">
        <v>0.76</v>
      </c>
      <c r="BL34" s="128">
        <v>1.26</v>
      </c>
      <c r="BM34" s="82">
        <v>1.28</v>
      </c>
      <c r="BN34" s="82">
        <v>0.84</v>
      </c>
      <c r="BO34" s="17">
        <v>0.63</v>
      </c>
      <c r="BP34" s="17">
        <v>0.62</v>
      </c>
      <c r="BQ34" s="107">
        <f>ROUND(('Annual Change'!BQ34/Population!BP34)*100,2)</f>
        <v>0</v>
      </c>
    </row>
    <row r="35" spans="1:69" x14ac:dyDescent="0.2">
      <c r="A35" s="20" t="s">
        <v>61</v>
      </c>
      <c r="B35" s="21" t="s">
        <v>62</v>
      </c>
      <c r="C35" s="25" t="s">
        <v>2</v>
      </c>
      <c r="D35" s="38">
        <v>4.47</v>
      </c>
      <c r="E35" s="39">
        <v>4.72</v>
      </c>
      <c r="F35" s="39">
        <v>3.66</v>
      </c>
      <c r="G35" s="39">
        <v>3.94</v>
      </c>
      <c r="H35" s="39">
        <v>4.78</v>
      </c>
      <c r="I35" s="39">
        <v>4.6100000000000003</v>
      </c>
      <c r="J35" s="39">
        <v>5.93</v>
      </c>
      <c r="K35" s="39">
        <v>5.64</v>
      </c>
      <c r="L35" s="40">
        <v>7.23</v>
      </c>
      <c r="M35" s="69">
        <v>-0.66</v>
      </c>
      <c r="N35" s="38">
        <v>-1.1399999999999999</v>
      </c>
      <c r="O35" s="39">
        <v>0.42</v>
      </c>
      <c r="P35" s="39">
        <v>0.19</v>
      </c>
      <c r="Q35" s="39">
        <v>1.44</v>
      </c>
      <c r="R35" s="39">
        <v>0.93</v>
      </c>
      <c r="S35" s="39">
        <v>2</v>
      </c>
      <c r="T35" s="39">
        <v>2.54</v>
      </c>
      <c r="U35" s="39">
        <v>5.45</v>
      </c>
      <c r="V35" s="39">
        <v>7.02</v>
      </c>
      <c r="W35" s="40">
        <v>5.93</v>
      </c>
      <c r="X35" s="38">
        <v>3.52</v>
      </c>
      <c r="Y35" s="39">
        <v>2.33</v>
      </c>
      <c r="Z35" s="39">
        <v>1.62</v>
      </c>
      <c r="AA35" s="39">
        <v>1.93</v>
      </c>
      <c r="AB35" s="39">
        <v>2.84</v>
      </c>
      <c r="AC35" s="39">
        <v>3.15</v>
      </c>
      <c r="AD35" s="39">
        <v>3.31</v>
      </c>
      <c r="AE35" s="45">
        <v>4.01</v>
      </c>
      <c r="AF35" s="46">
        <v>5.23</v>
      </c>
      <c r="AG35" s="52">
        <v>4.76</v>
      </c>
      <c r="AH35" s="50">
        <v>4.82</v>
      </c>
      <c r="AI35" s="39">
        <v>1.72</v>
      </c>
      <c r="AJ35" s="39">
        <v>2.19</v>
      </c>
      <c r="AK35" s="39">
        <v>2.4900000000000002</v>
      </c>
      <c r="AL35" s="39">
        <v>2.2599999999999998</v>
      </c>
      <c r="AM35" s="39">
        <v>2.08</v>
      </c>
      <c r="AN35" s="39">
        <v>2.1800000000000002</v>
      </c>
      <c r="AO35" s="39">
        <v>2.94</v>
      </c>
      <c r="AP35" s="39">
        <v>3.22</v>
      </c>
      <c r="AQ35" s="40">
        <v>2.84</v>
      </c>
      <c r="AR35" s="38">
        <v>1.95</v>
      </c>
      <c r="AS35" s="39">
        <v>1.85</v>
      </c>
      <c r="AT35" s="39">
        <v>1.69</v>
      </c>
      <c r="AU35" s="39">
        <v>1.38</v>
      </c>
      <c r="AV35" s="39">
        <v>1.94</v>
      </c>
      <c r="AW35" s="39">
        <v>2.23</v>
      </c>
      <c r="AX35" s="39">
        <v>1.95</v>
      </c>
      <c r="AY35" s="39">
        <v>1.45</v>
      </c>
      <c r="AZ35" s="39">
        <v>0.94</v>
      </c>
      <c r="BA35" s="40">
        <v>1.05</v>
      </c>
      <c r="BB35" s="79">
        <v>0.78</v>
      </c>
      <c r="BC35" s="80">
        <v>0.93</v>
      </c>
      <c r="BD35" s="80">
        <v>1.34</v>
      </c>
      <c r="BE35" s="81">
        <v>1.48</v>
      </c>
      <c r="BF35" s="82">
        <v>1.91</v>
      </c>
      <c r="BG35" s="82">
        <v>1.77</v>
      </c>
      <c r="BH35" s="82">
        <v>1.71</v>
      </c>
      <c r="BI35" s="82">
        <v>1.79</v>
      </c>
      <c r="BJ35" s="82">
        <v>1.65</v>
      </c>
      <c r="BK35" s="107">
        <v>1.66</v>
      </c>
      <c r="BL35" s="128">
        <v>1.19</v>
      </c>
      <c r="BM35" s="82">
        <v>1.1299999999999999</v>
      </c>
      <c r="BN35" s="82">
        <v>1.48</v>
      </c>
      <c r="BO35" s="17">
        <v>0.85</v>
      </c>
      <c r="BP35" s="17">
        <v>0.77</v>
      </c>
      <c r="BQ35" s="107">
        <f>ROUND(('Annual Change'!BQ35/Population!BP35)*100,2)</f>
        <v>0.68</v>
      </c>
    </row>
    <row r="36" spans="1:69" x14ac:dyDescent="0.2">
      <c r="A36" s="20" t="s">
        <v>63</v>
      </c>
      <c r="B36" s="21" t="s">
        <v>64</v>
      </c>
      <c r="C36" s="25" t="s">
        <v>2</v>
      </c>
      <c r="D36" s="38">
        <v>0.13</v>
      </c>
      <c r="E36" s="39">
        <v>0.39</v>
      </c>
      <c r="F36" s="39">
        <v>-0.46</v>
      </c>
      <c r="G36" s="39">
        <v>-0.22</v>
      </c>
      <c r="H36" s="39">
        <v>-0.25</v>
      </c>
      <c r="I36" s="39">
        <v>-0.22</v>
      </c>
      <c r="J36" s="39">
        <v>-0.87</v>
      </c>
      <c r="K36" s="39">
        <v>0.77</v>
      </c>
      <c r="L36" s="40">
        <v>1.34</v>
      </c>
      <c r="M36" s="69">
        <v>2.67</v>
      </c>
      <c r="N36" s="38">
        <v>1.57</v>
      </c>
      <c r="O36" s="39">
        <v>1.68</v>
      </c>
      <c r="P36" s="39">
        <v>0.88</v>
      </c>
      <c r="Q36" s="39">
        <v>1.5</v>
      </c>
      <c r="R36" s="39">
        <v>0.1</v>
      </c>
      <c r="S36" s="39">
        <v>2.2000000000000002</v>
      </c>
      <c r="T36" s="39">
        <v>2.54</v>
      </c>
      <c r="U36" s="39">
        <v>1.44</v>
      </c>
      <c r="V36" s="39">
        <v>3.28</v>
      </c>
      <c r="W36" s="40">
        <v>2.3199999999999998</v>
      </c>
      <c r="X36" s="38">
        <v>1.46</v>
      </c>
      <c r="Y36" s="39">
        <v>-0.04</v>
      </c>
      <c r="Z36" s="39">
        <v>-0.17</v>
      </c>
      <c r="AA36" s="39">
        <v>0.49</v>
      </c>
      <c r="AB36" s="39">
        <v>1.04</v>
      </c>
      <c r="AC36" s="39">
        <v>-0.3</v>
      </c>
      <c r="AD36" s="39">
        <v>-0.47</v>
      </c>
      <c r="AE36" s="45">
        <v>0.2</v>
      </c>
      <c r="AF36" s="46">
        <v>0.94</v>
      </c>
      <c r="AG36" s="52">
        <v>2.44</v>
      </c>
      <c r="AH36" s="50">
        <v>1.26</v>
      </c>
      <c r="AI36" s="39">
        <v>1.44</v>
      </c>
      <c r="AJ36" s="39">
        <v>1.58</v>
      </c>
      <c r="AK36" s="39">
        <v>1.86</v>
      </c>
      <c r="AL36" s="39">
        <v>1.9</v>
      </c>
      <c r="AM36" s="39">
        <v>1.58</v>
      </c>
      <c r="AN36" s="39">
        <v>1.62</v>
      </c>
      <c r="AO36" s="39">
        <v>1.18</v>
      </c>
      <c r="AP36" s="39">
        <v>1.2</v>
      </c>
      <c r="AQ36" s="40">
        <v>1.03</v>
      </c>
      <c r="AR36" s="38">
        <v>1.24</v>
      </c>
      <c r="AS36" s="39">
        <v>1.33</v>
      </c>
      <c r="AT36" s="39">
        <v>0.03</v>
      </c>
      <c r="AU36" s="39">
        <v>0.7</v>
      </c>
      <c r="AV36" s="39">
        <v>1.47</v>
      </c>
      <c r="AW36" s="39">
        <v>1.94</v>
      </c>
      <c r="AX36" s="39">
        <v>1.63</v>
      </c>
      <c r="AY36" s="39">
        <v>1.38</v>
      </c>
      <c r="AZ36" s="39">
        <v>1.33</v>
      </c>
      <c r="BA36" s="40">
        <v>1.03</v>
      </c>
      <c r="BB36" s="79">
        <v>0.68</v>
      </c>
      <c r="BC36" s="80">
        <v>0.83</v>
      </c>
      <c r="BD36" s="80">
        <v>1.21</v>
      </c>
      <c r="BE36" s="81">
        <v>1.2</v>
      </c>
      <c r="BF36" s="82">
        <v>1.22</v>
      </c>
      <c r="BG36" s="82">
        <v>1.35</v>
      </c>
      <c r="BH36" s="82">
        <v>1.78</v>
      </c>
      <c r="BI36" s="82">
        <v>2.09</v>
      </c>
      <c r="BJ36" s="82">
        <v>1.7</v>
      </c>
      <c r="BK36" s="107">
        <v>1.53</v>
      </c>
      <c r="BL36" s="128">
        <v>0.51</v>
      </c>
      <c r="BM36" s="82">
        <v>1.59</v>
      </c>
      <c r="BN36" s="82">
        <v>0.71</v>
      </c>
      <c r="BO36" s="17">
        <v>0.87</v>
      </c>
      <c r="BP36" s="17">
        <v>1.18</v>
      </c>
      <c r="BQ36" s="107">
        <f>ROUND(('Annual Change'!BQ36/Population!BP36)*100,2)</f>
        <v>0.81</v>
      </c>
    </row>
    <row r="37" spans="1:69" x14ac:dyDescent="0.2">
      <c r="A37" s="20" t="s">
        <v>65</v>
      </c>
      <c r="B37" s="21" t="s">
        <v>66</v>
      </c>
      <c r="C37" s="25" t="s">
        <v>2</v>
      </c>
      <c r="D37" s="38">
        <v>0.65</v>
      </c>
      <c r="E37" s="39">
        <v>0</v>
      </c>
      <c r="F37" s="39">
        <v>-2.78</v>
      </c>
      <c r="G37" s="39">
        <v>-0.56999999999999995</v>
      </c>
      <c r="H37" s="39">
        <v>0.56999999999999995</v>
      </c>
      <c r="I37" s="39">
        <v>0</v>
      </c>
      <c r="J37" s="39">
        <v>1.71</v>
      </c>
      <c r="K37" s="39">
        <v>-1.1200000000000001</v>
      </c>
      <c r="L37" s="40">
        <v>-1.1399999999999999</v>
      </c>
      <c r="M37" s="69">
        <v>0.03</v>
      </c>
      <c r="N37" s="38">
        <v>1.1200000000000001</v>
      </c>
      <c r="O37" s="39">
        <v>4.55</v>
      </c>
      <c r="P37" s="39">
        <v>4.3499999999999996</v>
      </c>
      <c r="Q37" s="39">
        <v>2.6</v>
      </c>
      <c r="R37" s="39">
        <v>7.61</v>
      </c>
      <c r="S37" s="39">
        <v>8.02</v>
      </c>
      <c r="T37" s="39">
        <v>6.11</v>
      </c>
      <c r="U37" s="39">
        <v>5.76</v>
      </c>
      <c r="V37" s="39">
        <v>6.61</v>
      </c>
      <c r="W37" s="40">
        <v>5.76</v>
      </c>
      <c r="X37" s="38">
        <v>1.43</v>
      </c>
      <c r="Y37" s="39">
        <v>1.1399999999999999</v>
      </c>
      <c r="Z37" s="39">
        <v>1.06</v>
      </c>
      <c r="AA37" s="39">
        <v>1.34</v>
      </c>
      <c r="AB37" s="39">
        <v>0.72</v>
      </c>
      <c r="AC37" s="39">
        <v>-0.16</v>
      </c>
      <c r="AD37" s="39">
        <v>0.57999999999999996</v>
      </c>
      <c r="AE37" s="45">
        <v>-0.23</v>
      </c>
      <c r="AF37" s="46">
        <v>0.24</v>
      </c>
      <c r="AG37" s="52">
        <v>0.48</v>
      </c>
      <c r="AH37" s="50">
        <v>2.16</v>
      </c>
      <c r="AI37" s="39">
        <v>2.2799999999999998</v>
      </c>
      <c r="AJ37" s="39">
        <v>2.82</v>
      </c>
      <c r="AK37" s="39">
        <v>3.01</v>
      </c>
      <c r="AL37" s="39">
        <v>3.72</v>
      </c>
      <c r="AM37" s="39">
        <v>2.76</v>
      </c>
      <c r="AN37" s="39">
        <v>2.4700000000000002</v>
      </c>
      <c r="AO37" s="39">
        <v>2.27</v>
      </c>
      <c r="AP37" s="39">
        <v>2.27</v>
      </c>
      <c r="AQ37" s="40">
        <v>2.41</v>
      </c>
      <c r="AR37" s="38">
        <v>0.66</v>
      </c>
      <c r="AS37" s="39">
        <v>0.69</v>
      </c>
      <c r="AT37" s="39">
        <v>0.86</v>
      </c>
      <c r="AU37" s="39">
        <v>0.91</v>
      </c>
      <c r="AV37" s="39">
        <v>1.1100000000000001</v>
      </c>
      <c r="AW37" s="39">
        <v>1.35</v>
      </c>
      <c r="AX37" s="39">
        <v>0.95</v>
      </c>
      <c r="AY37" s="39">
        <v>1.23</v>
      </c>
      <c r="AZ37" s="39">
        <v>0.52</v>
      </c>
      <c r="BA37" s="40">
        <v>0.05</v>
      </c>
      <c r="BB37" s="79">
        <v>0.56999999999999995</v>
      </c>
      <c r="BC37" s="80">
        <v>0.45</v>
      </c>
      <c r="BD37" s="80">
        <v>0.36</v>
      </c>
      <c r="BE37" s="81">
        <v>0.79</v>
      </c>
      <c r="BF37" s="82">
        <v>0.55000000000000004</v>
      </c>
      <c r="BG37" s="82">
        <v>0.4</v>
      </c>
      <c r="BH37" s="82">
        <v>0.56000000000000005</v>
      </c>
      <c r="BI37" s="82">
        <v>0.95</v>
      </c>
      <c r="BJ37" s="82">
        <v>1.1399999999999999</v>
      </c>
      <c r="BK37" s="107">
        <v>0.72</v>
      </c>
      <c r="BL37" s="128">
        <v>0.6</v>
      </c>
      <c r="BM37" s="82">
        <v>0.7</v>
      </c>
      <c r="BN37" s="82">
        <v>0.64</v>
      </c>
      <c r="BO37" s="17">
        <v>0.63</v>
      </c>
      <c r="BP37" s="17">
        <v>0.31</v>
      </c>
      <c r="BQ37" s="107">
        <f>ROUND(('Annual Change'!BQ37/Population!BP37)*100,2)</f>
        <v>0.47</v>
      </c>
    </row>
    <row r="38" spans="1:69" x14ac:dyDescent="0.2">
      <c r="A38" s="20" t="s">
        <v>67</v>
      </c>
      <c r="B38" s="21" t="s">
        <v>68</v>
      </c>
      <c r="C38" s="25" t="s">
        <v>2</v>
      </c>
      <c r="D38" s="38">
        <v>3.18</v>
      </c>
      <c r="E38" s="39">
        <v>3.87</v>
      </c>
      <c r="F38" s="39">
        <v>2.2000000000000002</v>
      </c>
      <c r="G38" s="39">
        <v>2.82</v>
      </c>
      <c r="H38" s="39">
        <v>3.87</v>
      </c>
      <c r="I38" s="39">
        <v>3.42</v>
      </c>
      <c r="J38" s="39">
        <v>4.6500000000000004</v>
      </c>
      <c r="K38" s="39">
        <v>4.59</v>
      </c>
      <c r="L38" s="40">
        <v>4.9400000000000004</v>
      </c>
      <c r="M38" s="69">
        <v>0.52</v>
      </c>
      <c r="N38" s="38">
        <v>2.61</v>
      </c>
      <c r="O38" s="39">
        <v>1.9</v>
      </c>
      <c r="P38" s="39">
        <v>1.74</v>
      </c>
      <c r="Q38" s="39">
        <v>6.36</v>
      </c>
      <c r="R38" s="39">
        <v>4.0199999999999996</v>
      </c>
      <c r="S38" s="39">
        <v>5.97</v>
      </c>
      <c r="T38" s="39">
        <v>5.21</v>
      </c>
      <c r="U38" s="39">
        <v>9.1199999999999992</v>
      </c>
      <c r="V38" s="39">
        <v>5.09</v>
      </c>
      <c r="W38" s="40">
        <v>7.4</v>
      </c>
      <c r="X38" s="38">
        <v>3.34</v>
      </c>
      <c r="Y38" s="39">
        <v>2.4</v>
      </c>
      <c r="Z38" s="39">
        <v>2</v>
      </c>
      <c r="AA38" s="39">
        <v>2.06</v>
      </c>
      <c r="AB38" s="39">
        <v>2.08</v>
      </c>
      <c r="AC38" s="39">
        <v>2.6</v>
      </c>
      <c r="AD38" s="39">
        <v>2.34</v>
      </c>
      <c r="AE38" s="45">
        <v>2.36</v>
      </c>
      <c r="AF38" s="46">
        <v>3.91</v>
      </c>
      <c r="AG38" s="52">
        <v>3.32</v>
      </c>
      <c r="AH38" s="50">
        <v>3.98</v>
      </c>
      <c r="AI38" s="39">
        <v>2.84</v>
      </c>
      <c r="AJ38" s="39">
        <v>2.69</v>
      </c>
      <c r="AK38" s="39">
        <v>2.63</v>
      </c>
      <c r="AL38" s="39">
        <v>2.59</v>
      </c>
      <c r="AM38" s="39">
        <v>2.14</v>
      </c>
      <c r="AN38" s="39">
        <v>2.12</v>
      </c>
      <c r="AO38" s="39">
        <v>2.0499999999999998</v>
      </c>
      <c r="AP38" s="39">
        <v>2.38</v>
      </c>
      <c r="AQ38" s="40">
        <v>2.06</v>
      </c>
      <c r="AR38" s="38">
        <v>1.32</v>
      </c>
      <c r="AS38" s="39">
        <v>1.92</v>
      </c>
      <c r="AT38" s="39">
        <v>1.93</v>
      </c>
      <c r="AU38" s="39">
        <v>2.2000000000000002</v>
      </c>
      <c r="AV38" s="39">
        <v>2.79</v>
      </c>
      <c r="AW38" s="39">
        <v>2.09</v>
      </c>
      <c r="AX38" s="39">
        <v>2.34</v>
      </c>
      <c r="AY38" s="39">
        <v>2.21</v>
      </c>
      <c r="AZ38" s="39">
        <v>1.83</v>
      </c>
      <c r="BA38" s="40">
        <v>1.17</v>
      </c>
      <c r="BB38" s="79">
        <v>1.08</v>
      </c>
      <c r="BC38" s="80">
        <v>1.38</v>
      </c>
      <c r="BD38" s="80">
        <v>1.61</v>
      </c>
      <c r="BE38" s="81">
        <v>1.88</v>
      </c>
      <c r="BF38" s="82">
        <v>1.42</v>
      </c>
      <c r="BG38" s="82">
        <v>1.7</v>
      </c>
      <c r="BH38" s="82">
        <v>1.59</v>
      </c>
      <c r="BI38" s="82">
        <v>1.94</v>
      </c>
      <c r="BJ38" s="82">
        <v>1.31</v>
      </c>
      <c r="BK38" s="107">
        <v>1.79</v>
      </c>
      <c r="BL38" s="128">
        <v>1.02</v>
      </c>
      <c r="BM38" s="82">
        <v>0.91</v>
      </c>
      <c r="BN38" s="82">
        <v>0.97</v>
      </c>
      <c r="BO38" s="17">
        <v>1.19</v>
      </c>
      <c r="BP38" s="17">
        <v>0.68</v>
      </c>
      <c r="BQ38" s="107">
        <f>ROUND(('Annual Change'!BQ38/Population!BP38)*100,2)</f>
        <v>1.07</v>
      </c>
    </row>
    <row r="39" spans="1:69" x14ac:dyDescent="0.2">
      <c r="A39" s="20" t="s">
        <v>69</v>
      </c>
      <c r="B39" s="21" t="s">
        <v>70</v>
      </c>
      <c r="C39" s="25" t="s">
        <v>2</v>
      </c>
      <c r="D39" s="38">
        <v>2.16</v>
      </c>
      <c r="E39" s="39">
        <v>0</v>
      </c>
      <c r="F39" s="39">
        <v>-5.71</v>
      </c>
      <c r="G39" s="39">
        <v>0</v>
      </c>
      <c r="H39" s="39">
        <v>3.03</v>
      </c>
      <c r="I39" s="39">
        <v>0</v>
      </c>
      <c r="J39" s="39">
        <v>5.88</v>
      </c>
      <c r="K39" s="39">
        <v>-8.33</v>
      </c>
      <c r="L39" s="40">
        <v>3.03</v>
      </c>
      <c r="M39" s="69">
        <v>5.65</v>
      </c>
      <c r="N39" s="38">
        <v>0.22</v>
      </c>
      <c r="O39" s="39">
        <v>2.78</v>
      </c>
      <c r="P39" s="39">
        <v>-2.7</v>
      </c>
      <c r="Q39" s="39">
        <v>0</v>
      </c>
      <c r="R39" s="39">
        <v>2.78</v>
      </c>
      <c r="S39" s="39">
        <v>-0.49</v>
      </c>
      <c r="T39" s="39">
        <v>0.49</v>
      </c>
      <c r="U39" s="39">
        <v>2.7</v>
      </c>
      <c r="V39" s="39">
        <v>0</v>
      </c>
      <c r="W39" s="40">
        <v>0.84</v>
      </c>
      <c r="X39" s="38">
        <v>-2.2200000000000002</v>
      </c>
      <c r="Y39" s="39">
        <v>0.32</v>
      </c>
      <c r="Z39" s="39">
        <v>-1.41</v>
      </c>
      <c r="AA39" s="39">
        <v>-0.54</v>
      </c>
      <c r="AB39" s="39">
        <v>-4.91</v>
      </c>
      <c r="AC39" s="39">
        <v>-2.62</v>
      </c>
      <c r="AD39" s="39">
        <v>-0.12</v>
      </c>
      <c r="AE39" s="45">
        <v>-1.67</v>
      </c>
      <c r="AF39" s="46">
        <v>0.15</v>
      </c>
      <c r="AG39" s="52">
        <v>-0.89</v>
      </c>
      <c r="AH39" s="50">
        <v>0.6</v>
      </c>
      <c r="AI39" s="39">
        <v>0.33</v>
      </c>
      <c r="AJ39" s="39">
        <v>1.85</v>
      </c>
      <c r="AK39" s="39">
        <v>1.81</v>
      </c>
      <c r="AL39" s="39">
        <v>1.84</v>
      </c>
      <c r="AM39" s="39">
        <v>1.95</v>
      </c>
      <c r="AN39" s="39">
        <v>1.1299999999999999</v>
      </c>
      <c r="AO39" s="39">
        <v>1.01</v>
      </c>
      <c r="AP39" s="39">
        <v>1.76</v>
      </c>
      <c r="AQ39" s="40">
        <v>1.76</v>
      </c>
      <c r="AR39" s="38">
        <v>0.18</v>
      </c>
      <c r="AS39" s="39">
        <v>-0.16</v>
      </c>
      <c r="AT39" s="39">
        <v>0.21</v>
      </c>
      <c r="AU39" s="39">
        <v>-0.18</v>
      </c>
      <c r="AV39" s="39">
        <v>1.07</v>
      </c>
      <c r="AW39" s="39">
        <v>1.1599999999999999</v>
      </c>
      <c r="AX39" s="39">
        <v>1.3</v>
      </c>
      <c r="AY39" s="39">
        <v>1.06</v>
      </c>
      <c r="AZ39" s="39">
        <v>-0.05</v>
      </c>
      <c r="BA39" s="40">
        <v>-0.62</v>
      </c>
      <c r="BB39" s="79">
        <v>1.01</v>
      </c>
      <c r="BC39" s="80">
        <v>0.8</v>
      </c>
      <c r="BD39" s="80">
        <v>7.0000000000000007E-2</v>
      </c>
      <c r="BE39" s="81">
        <v>1.1299999999999999</v>
      </c>
      <c r="BF39" s="82">
        <v>0.71</v>
      </c>
      <c r="BG39" s="82">
        <v>1.24</v>
      </c>
      <c r="BH39" s="82">
        <v>1.1499999999999999</v>
      </c>
      <c r="BI39" s="82">
        <v>1.56</v>
      </c>
      <c r="BJ39" s="82">
        <v>1.86</v>
      </c>
      <c r="BK39" s="107">
        <v>1.1200000000000001</v>
      </c>
      <c r="BL39" s="128">
        <v>1.2</v>
      </c>
      <c r="BM39" s="82">
        <v>1.1200000000000001</v>
      </c>
      <c r="BN39" s="82">
        <v>0.55000000000000004</v>
      </c>
      <c r="BO39" s="17">
        <v>0</v>
      </c>
      <c r="BP39" s="17">
        <v>0</v>
      </c>
      <c r="BQ39" s="107">
        <f>ROUND(('Annual Change'!BQ39/Population!BP39)*100,2)</f>
        <v>1.1000000000000001</v>
      </c>
    </row>
    <row r="40" spans="1:69" x14ac:dyDescent="0.2">
      <c r="A40" s="20" t="s">
        <v>71</v>
      </c>
      <c r="B40" s="21" t="s">
        <v>72</v>
      </c>
      <c r="C40" s="25" t="s">
        <v>2</v>
      </c>
      <c r="D40" s="38">
        <v>-0.46</v>
      </c>
      <c r="E40" s="39">
        <v>0.48</v>
      </c>
      <c r="F40" s="39">
        <v>-1.42</v>
      </c>
      <c r="G40" s="39">
        <v>-0.24</v>
      </c>
      <c r="H40" s="39">
        <v>-0.24</v>
      </c>
      <c r="I40" s="39">
        <v>-0.48</v>
      </c>
      <c r="J40" s="39">
        <v>1.94</v>
      </c>
      <c r="K40" s="39">
        <v>-1.67</v>
      </c>
      <c r="L40" s="40">
        <v>-0.73</v>
      </c>
      <c r="M40" s="69">
        <v>2.87</v>
      </c>
      <c r="N40" s="38">
        <v>1.01</v>
      </c>
      <c r="O40" s="39">
        <v>-1.17</v>
      </c>
      <c r="P40" s="39">
        <v>1.19</v>
      </c>
      <c r="Q40" s="39">
        <v>0.47</v>
      </c>
      <c r="R40" s="39">
        <v>1.64</v>
      </c>
      <c r="S40" s="39">
        <v>0.69</v>
      </c>
      <c r="T40" s="39">
        <v>1.37</v>
      </c>
      <c r="U40" s="39">
        <v>1.1299999999999999</v>
      </c>
      <c r="V40" s="39">
        <v>2.67</v>
      </c>
      <c r="W40" s="40">
        <v>2.9</v>
      </c>
      <c r="X40" s="38">
        <v>-0.63</v>
      </c>
      <c r="Y40" s="39">
        <v>1.23</v>
      </c>
      <c r="Z40" s="39">
        <v>1.1200000000000001</v>
      </c>
      <c r="AA40" s="39">
        <v>0.2</v>
      </c>
      <c r="AB40" s="39">
        <v>-0.12</v>
      </c>
      <c r="AC40" s="39">
        <v>-0.26</v>
      </c>
      <c r="AD40" s="39">
        <v>0.01</v>
      </c>
      <c r="AE40" s="45">
        <v>-0.18</v>
      </c>
      <c r="AF40" s="46">
        <v>0.4</v>
      </c>
      <c r="AG40" s="52">
        <v>0.34</v>
      </c>
      <c r="AH40" s="50">
        <v>0.78</v>
      </c>
      <c r="AI40" s="39">
        <v>1.1100000000000001</v>
      </c>
      <c r="AJ40" s="39">
        <v>1.32</v>
      </c>
      <c r="AK40" s="39">
        <v>1.49</v>
      </c>
      <c r="AL40" s="39">
        <v>1.38</v>
      </c>
      <c r="AM40" s="39">
        <v>1.36</v>
      </c>
      <c r="AN40" s="39">
        <v>1.66</v>
      </c>
      <c r="AO40" s="39">
        <v>1.76</v>
      </c>
      <c r="AP40" s="39">
        <v>0.99</v>
      </c>
      <c r="AQ40" s="40">
        <v>1.26</v>
      </c>
      <c r="AR40" s="38">
        <v>-0.14000000000000001</v>
      </c>
      <c r="AS40" s="39">
        <v>0.25</v>
      </c>
      <c r="AT40" s="39">
        <v>0.57999999999999996</v>
      </c>
      <c r="AU40" s="39">
        <v>1.0900000000000001</v>
      </c>
      <c r="AV40" s="39">
        <v>1.49</v>
      </c>
      <c r="AW40" s="39">
        <v>0.38</v>
      </c>
      <c r="AX40" s="39">
        <v>0.93</v>
      </c>
      <c r="AY40" s="39">
        <v>0.54</v>
      </c>
      <c r="AZ40" s="39">
        <v>0.86</v>
      </c>
      <c r="BA40" s="40">
        <v>0.38</v>
      </c>
      <c r="BB40" s="79">
        <v>0.15</v>
      </c>
      <c r="BC40" s="80">
        <v>0.74</v>
      </c>
      <c r="BD40" s="80">
        <v>0.56000000000000005</v>
      </c>
      <c r="BE40" s="81">
        <v>1.37</v>
      </c>
      <c r="BF40" s="82">
        <v>0.95</v>
      </c>
      <c r="BG40" s="82">
        <v>0.01</v>
      </c>
      <c r="BH40" s="82">
        <v>0.63</v>
      </c>
      <c r="BI40" s="82">
        <v>0.38</v>
      </c>
      <c r="BJ40" s="82">
        <v>0.74</v>
      </c>
      <c r="BK40" s="107">
        <v>0.75</v>
      </c>
      <c r="BL40" s="128">
        <v>-0.77</v>
      </c>
      <c r="BM40" s="82">
        <v>0.85</v>
      </c>
      <c r="BN40" s="82">
        <v>0.76</v>
      </c>
      <c r="BO40" s="17">
        <v>0.44</v>
      </c>
      <c r="BP40" s="17">
        <v>0.67</v>
      </c>
      <c r="BQ40" s="107">
        <f>ROUND(('Annual Change'!BQ40/Population!BP40)*100,2)</f>
        <v>0.47</v>
      </c>
    </row>
    <row r="41" spans="1:69" x14ac:dyDescent="0.2">
      <c r="A41" s="20" t="s">
        <v>73</v>
      </c>
      <c r="B41" s="21" t="s">
        <v>74</v>
      </c>
      <c r="C41" s="25" t="s">
        <v>2</v>
      </c>
      <c r="D41" s="38">
        <v>1.4</v>
      </c>
      <c r="E41" s="39">
        <v>1.68</v>
      </c>
      <c r="F41" s="39">
        <v>0.41</v>
      </c>
      <c r="G41" s="39">
        <v>1.24</v>
      </c>
      <c r="H41" s="39">
        <v>1.9</v>
      </c>
      <c r="I41" s="39">
        <v>2</v>
      </c>
      <c r="J41" s="39">
        <v>3.26</v>
      </c>
      <c r="K41" s="39">
        <v>2.65</v>
      </c>
      <c r="L41" s="40">
        <v>0.99</v>
      </c>
      <c r="M41" s="69">
        <v>-0.02</v>
      </c>
      <c r="N41" s="38">
        <v>3.68</v>
      </c>
      <c r="O41" s="39">
        <v>2.71</v>
      </c>
      <c r="P41" s="39">
        <v>0.46</v>
      </c>
      <c r="Q41" s="39">
        <v>2.2799999999999998</v>
      </c>
      <c r="R41" s="39">
        <v>2.23</v>
      </c>
      <c r="S41" s="39">
        <v>3.16</v>
      </c>
      <c r="T41" s="39">
        <v>2.54</v>
      </c>
      <c r="U41" s="39">
        <v>3.61</v>
      </c>
      <c r="V41" s="39">
        <v>2.89</v>
      </c>
      <c r="W41" s="40">
        <v>3.19</v>
      </c>
      <c r="X41" s="38">
        <v>2.5099999999999998</v>
      </c>
      <c r="Y41" s="39">
        <v>1.47</v>
      </c>
      <c r="Z41" s="39">
        <v>0.95</v>
      </c>
      <c r="AA41" s="39">
        <v>1.5</v>
      </c>
      <c r="AB41" s="39">
        <v>1.55</v>
      </c>
      <c r="AC41" s="39">
        <v>0.62</v>
      </c>
      <c r="AD41" s="39">
        <v>1.26</v>
      </c>
      <c r="AE41" s="45">
        <v>1.88</v>
      </c>
      <c r="AF41" s="46">
        <v>3.17</v>
      </c>
      <c r="AG41" s="52">
        <v>3.32</v>
      </c>
      <c r="AH41" s="50">
        <v>3.83</v>
      </c>
      <c r="AI41" s="39">
        <v>3.86</v>
      </c>
      <c r="AJ41" s="39">
        <v>2.52</v>
      </c>
      <c r="AK41" s="39">
        <v>3.39</v>
      </c>
      <c r="AL41" s="39">
        <v>2.66</v>
      </c>
      <c r="AM41" s="39">
        <v>2.79</v>
      </c>
      <c r="AN41" s="39">
        <v>1.91</v>
      </c>
      <c r="AO41" s="39">
        <v>2.29</v>
      </c>
      <c r="AP41" s="39">
        <v>1.93</v>
      </c>
      <c r="AQ41" s="40">
        <v>1.86</v>
      </c>
      <c r="AR41" s="38">
        <v>2.4900000000000002</v>
      </c>
      <c r="AS41" s="39">
        <v>1.91</v>
      </c>
      <c r="AT41" s="39">
        <v>1</v>
      </c>
      <c r="AU41" s="39">
        <v>2.42</v>
      </c>
      <c r="AV41" s="39">
        <v>2.62</v>
      </c>
      <c r="AW41" s="39">
        <v>2.77</v>
      </c>
      <c r="AX41" s="39">
        <v>2.74</v>
      </c>
      <c r="AY41" s="39">
        <v>1.22</v>
      </c>
      <c r="AZ41" s="39">
        <v>1.04</v>
      </c>
      <c r="BA41" s="40">
        <v>0.7</v>
      </c>
      <c r="BB41" s="79">
        <v>0.56999999999999995</v>
      </c>
      <c r="BC41" s="80">
        <v>0.7</v>
      </c>
      <c r="BD41" s="80">
        <v>1.1499999999999999</v>
      </c>
      <c r="BE41" s="81">
        <v>0.93</v>
      </c>
      <c r="BF41" s="82">
        <v>1.05</v>
      </c>
      <c r="BG41" s="82">
        <v>1.22</v>
      </c>
      <c r="BH41" s="82">
        <v>1.62</v>
      </c>
      <c r="BI41" s="82">
        <v>1.82</v>
      </c>
      <c r="BJ41" s="82">
        <v>1.76</v>
      </c>
      <c r="BK41" s="107">
        <v>1.3</v>
      </c>
      <c r="BL41" s="128">
        <v>-0.24</v>
      </c>
      <c r="BM41" s="82">
        <v>2.36</v>
      </c>
      <c r="BN41" s="82">
        <v>1.79</v>
      </c>
      <c r="BO41" s="17">
        <v>0.93</v>
      </c>
      <c r="BP41" s="17">
        <v>1.05</v>
      </c>
      <c r="BQ41" s="107">
        <f>ROUND(('Annual Change'!BQ41/Population!BP41)*100,2)</f>
        <v>0.73</v>
      </c>
    </row>
    <row r="42" spans="1:69" x14ac:dyDescent="0.2">
      <c r="A42" s="20" t="s">
        <v>75</v>
      </c>
      <c r="B42" s="21" t="s">
        <v>76</v>
      </c>
      <c r="C42" s="25" t="s">
        <v>2</v>
      </c>
      <c r="D42" s="38">
        <v>2.04</v>
      </c>
      <c r="E42" s="39">
        <v>1.57</v>
      </c>
      <c r="F42" s="39">
        <v>1.85</v>
      </c>
      <c r="G42" s="39">
        <v>1.21</v>
      </c>
      <c r="H42" s="39">
        <v>1.8</v>
      </c>
      <c r="I42" s="39">
        <v>2.06</v>
      </c>
      <c r="J42" s="39">
        <v>3.17</v>
      </c>
      <c r="K42" s="39">
        <v>4.1900000000000004</v>
      </c>
      <c r="L42" s="40">
        <v>-0.8</v>
      </c>
      <c r="M42" s="69">
        <v>2.4300000000000002</v>
      </c>
      <c r="N42" s="38">
        <v>0.53</v>
      </c>
      <c r="O42" s="39">
        <v>0.26</v>
      </c>
      <c r="P42" s="39">
        <v>0.26</v>
      </c>
      <c r="Q42" s="39">
        <v>0.78</v>
      </c>
      <c r="R42" s="39">
        <v>0.78</v>
      </c>
      <c r="S42" s="39">
        <v>0.51</v>
      </c>
      <c r="T42" s="39">
        <v>0.51</v>
      </c>
      <c r="U42" s="39">
        <v>0.76</v>
      </c>
      <c r="V42" s="39">
        <v>0.51</v>
      </c>
      <c r="W42" s="40">
        <v>0.76</v>
      </c>
      <c r="X42" s="38">
        <v>1.82</v>
      </c>
      <c r="Y42" s="39">
        <v>-1.89</v>
      </c>
      <c r="Z42" s="39">
        <v>-0.57999999999999996</v>
      </c>
      <c r="AA42" s="39">
        <v>-1.78</v>
      </c>
      <c r="AB42" s="39">
        <v>0.99</v>
      </c>
      <c r="AC42" s="39">
        <v>-1.85</v>
      </c>
      <c r="AD42" s="39">
        <v>-1.22</v>
      </c>
      <c r="AE42" s="45">
        <v>-0.75</v>
      </c>
      <c r="AF42" s="46">
        <v>0.64</v>
      </c>
      <c r="AG42" s="52">
        <v>1.33</v>
      </c>
      <c r="AH42" s="50">
        <v>-0.55000000000000004</v>
      </c>
      <c r="AI42" s="39">
        <v>0.54</v>
      </c>
      <c r="AJ42" s="39">
        <v>0.36</v>
      </c>
      <c r="AK42" s="39">
        <v>0.4</v>
      </c>
      <c r="AL42" s="39">
        <v>0.99</v>
      </c>
      <c r="AM42" s="39">
        <v>0.35</v>
      </c>
      <c r="AN42" s="39">
        <v>1.42</v>
      </c>
      <c r="AO42" s="39">
        <v>1.1399999999999999</v>
      </c>
      <c r="AP42" s="39">
        <v>0.56999999999999995</v>
      </c>
      <c r="AQ42" s="40">
        <v>-0.25</v>
      </c>
      <c r="AR42" s="38">
        <v>-0.5</v>
      </c>
      <c r="AS42" s="39">
        <v>1.1499999999999999</v>
      </c>
      <c r="AT42" s="39">
        <v>-0.12</v>
      </c>
      <c r="AU42" s="39">
        <v>1.79</v>
      </c>
      <c r="AV42" s="39">
        <v>1.95</v>
      </c>
      <c r="AW42" s="39">
        <v>0.82</v>
      </c>
      <c r="AX42" s="39">
        <v>-0.13</v>
      </c>
      <c r="AY42" s="39">
        <v>2.97</v>
      </c>
      <c r="AZ42" s="39">
        <v>-0.14000000000000001</v>
      </c>
      <c r="BA42" s="40">
        <v>1.75</v>
      </c>
      <c r="BB42" s="79">
        <v>-0.64</v>
      </c>
      <c r="BC42" s="80">
        <v>2.1</v>
      </c>
      <c r="BD42" s="80">
        <v>0.16</v>
      </c>
      <c r="BE42" s="81">
        <v>0.7</v>
      </c>
      <c r="BF42" s="82">
        <v>1.23</v>
      </c>
      <c r="BG42" s="82">
        <v>0.52</v>
      </c>
      <c r="BH42" s="82">
        <v>0.72</v>
      </c>
      <c r="BI42" s="82">
        <v>0.55000000000000004</v>
      </c>
      <c r="BJ42" s="82">
        <v>1.39</v>
      </c>
      <c r="BK42" s="107">
        <v>0.21</v>
      </c>
      <c r="BL42" s="128">
        <v>-7.03</v>
      </c>
      <c r="BM42" s="82">
        <v>7.17</v>
      </c>
      <c r="BN42" s="82">
        <v>0.63</v>
      </c>
      <c r="BO42" s="17">
        <v>1.35</v>
      </c>
      <c r="BP42" s="17">
        <v>1.44</v>
      </c>
      <c r="BQ42" s="107">
        <f>ROUND(('Annual Change'!BQ42/Population!BP42)*100,2)</f>
        <v>-0.91</v>
      </c>
    </row>
    <row r="43" spans="1:69" x14ac:dyDescent="0.2">
      <c r="A43" s="20" t="s">
        <v>77</v>
      </c>
      <c r="B43" s="21" t="s">
        <v>78</v>
      </c>
      <c r="C43" s="25" t="s">
        <v>2</v>
      </c>
      <c r="D43" s="38">
        <v>-0.01</v>
      </c>
      <c r="E43" s="39">
        <v>-7.0000000000000007E-2</v>
      </c>
      <c r="F43" s="39">
        <v>-0.83</v>
      </c>
      <c r="G43" s="39">
        <v>-0.42</v>
      </c>
      <c r="H43" s="39">
        <v>0.14000000000000001</v>
      </c>
      <c r="I43" s="39">
        <v>0</v>
      </c>
      <c r="J43" s="39">
        <v>0.84</v>
      </c>
      <c r="K43" s="39">
        <v>0.62</v>
      </c>
      <c r="L43" s="40">
        <v>-1.24</v>
      </c>
      <c r="M43" s="69">
        <v>1.05</v>
      </c>
      <c r="N43" s="38">
        <v>1.51</v>
      </c>
      <c r="O43" s="39">
        <v>0</v>
      </c>
      <c r="P43" s="39">
        <v>0.61</v>
      </c>
      <c r="Q43" s="39">
        <v>2.56</v>
      </c>
      <c r="R43" s="39">
        <v>2.2400000000000002</v>
      </c>
      <c r="S43" s="39">
        <v>1.54</v>
      </c>
      <c r="T43" s="39">
        <v>2.09</v>
      </c>
      <c r="U43" s="39">
        <v>2.48</v>
      </c>
      <c r="V43" s="39">
        <v>1.76</v>
      </c>
      <c r="W43" s="40">
        <v>2.62</v>
      </c>
      <c r="X43" s="38">
        <v>1.04</v>
      </c>
      <c r="Y43" s="39">
        <v>1.03</v>
      </c>
      <c r="Z43" s="39">
        <v>1.26</v>
      </c>
      <c r="AA43" s="39">
        <v>0.99</v>
      </c>
      <c r="AB43" s="39">
        <v>0.76</v>
      </c>
      <c r="AC43" s="39">
        <v>0.33</v>
      </c>
      <c r="AD43" s="39">
        <v>0.73</v>
      </c>
      <c r="AE43" s="45">
        <v>0.72</v>
      </c>
      <c r="AF43" s="46">
        <v>0.8</v>
      </c>
      <c r="AG43" s="52">
        <v>1.42</v>
      </c>
      <c r="AH43" s="50">
        <v>1.41</v>
      </c>
      <c r="AI43" s="39">
        <v>1.8</v>
      </c>
      <c r="AJ43" s="39">
        <v>1.69</v>
      </c>
      <c r="AK43" s="39">
        <v>1.93</v>
      </c>
      <c r="AL43" s="39">
        <v>1.98</v>
      </c>
      <c r="AM43" s="39">
        <v>1.62</v>
      </c>
      <c r="AN43" s="39">
        <v>1.43</v>
      </c>
      <c r="AO43" s="39">
        <v>1.51</v>
      </c>
      <c r="AP43" s="39">
        <v>1.81</v>
      </c>
      <c r="AQ43" s="40">
        <v>1.41</v>
      </c>
      <c r="AR43" s="38">
        <v>0.74</v>
      </c>
      <c r="AS43" s="39">
        <v>0.25</v>
      </c>
      <c r="AT43" s="39">
        <v>1.41</v>
      </c>
      <c r="AU43" s="39">
        <v>0.9</v>
      </c>
      <c r="AV43" s="39">
        <v>0.83</v>
      </c>
      <c r="AW43" s="39">
        <v>1.08</v>
      </c>
      <c r="AX43" s="39">
        <v>1.07</v>
      </c>
      <c r="AY43" s="39">
        <v>1.1000000000000001</v>
      </c>
      <c r="AZ43" s="39">
        <v>0.91</v>
      </c>
      <c r="BA43" s="40">
        <v>0.63</v>
      </c>
      <c r="BB43" s="79">
        <v>0.54</v>
      </c>
      <c r="BC43" s="80">
        <v>0.43</v>
      </c>
      <c r="BD43" s="80">
        <v>0.5</v>
      </c>
      <c r="BE43" s="81">
        <v>0.56999999999999995</v>
      </c>
      <c r="BF43" s="82">
        <v>0.44</v>
      </c>
      <c r="BG43" s="82">
        <v>0.69</v>
      </c>
      <c r="BH43" s="82">
        <v>0.66</v>
      </c>
      <c r="BI43" s="82">
        <v>0.44</v>
      </c>
      <c r="BJ43" s="82">
        <v>0.38</v>
      </c>
      <c r="BK43" s="107">
        <v>0.77</v>
      </c>
      <c r="BL43" s="128">
        <v>0.53</v>
      </c>
      <c r="BM43" s="82">
        <v>0.72</v>
      </c>
      <c r="BN43" s="82">
        <v>0.48</v>
      </c>
      <c r="BO43" s="17">
        <v>0.77</v>
      </c>
      <c r="BP43" s="17">
        <v>0.55000000000000004</v>
      </c>
      <c r="BQ43" s="107">
        <f>ROUND(('Annual Change'!BQ43/Population!BP43)*100,2)</f>
        <v>0.43</v>
      </c>
    </row>
    <row r="44" spans="1:69" x14ac:dyDescent="0.2">
      <c r="A44" s="22" t="s">
        <v>79</v>
      </c>
      <c r="B44" s="23" t="s">
        <v>80</v>
      </c>
      <c r="C44" s="26" t="s">
        <v>2</v>
      </c>
      <c r="D44" s="41">
        <v>1.53</v>
      </c>
      <c r="E44" s="42">
        <v>1.76</v>
      </c>
      <c r="F44" s="42">
        <v>0.81</v>
      </c>
      <c r="G44" s="42">
        <v>1.21</v>
      </c>
      <c r="H44" s="42">
        <v>1.89</v>
      </c>
      <c r="I44" s="42">
        <v>1.96</v>
      </c>
      <c r="J44" s="42">
        <v>3.33</v>
      </c>
      <c r="K44" s="42">
        <v>3.31</v>
      </c>
      <c r="L44" s="43">
        <v>1.83</v>
      </c>
      <c r="M44" s="70">
        <v>0.48</v>
      </c>
      <c r="N44" s="41">
        <v>0.68</v>
      </c>
      <c r="O44" s="42">
        <v>-0.17</v>
      </c>
      <c r="P44" s="42">
        <v>0.41</v>
      </c>
      <c r="Q44" s="42">
        <v>1.87</v>
      </c>
      <c r="R44" s="42">
        <v>1.69</v>
      </c>
      <c r="S44" s="42">
        <v>1.88</v>
      </c>
      <c r="T44" s="42">
        <v>2.21</v>
      </c>
      <c r="U44" s="42">
        <v>3.25</v>
      </c>
      <c r="V44" s="42">
        <v>3.73</v>
      </c>
      <c r="W44" s="43">
        <v>3.85</v>
      </c>
      <c r="X44" s="41">
        <v>2.35</v>
      </c>
      <c r="Y44" s="42">
        <v>1.1200000000000001</v>
      </c>
      <c r="Z44" s="42">
        <v>0.72</v>
      </c>
      <c r="AA44" s="42">
        <v>1.0900000000000001</v>
      </c>
      <c r="AB44" s="42">
        <v>1.42</v>
      </c>
      <c r="AC44" s="42">
        <v>1.05</v>
      </c>
      <c r="AD44" s="42">
        <v>1.45</v>
      </c>
      <c r="AE44" s="47">
        <v>1.98</v>
      </c>
      <c r="AF44" s="48">
        <v>2.41</v>
      </c>
      <c r="AG44" s="53">
        <v>2.93</v>
      </c>
      <c r="AH44" s="51">
        <v>2.75</v>
      </c>
      <c r="AI44" s="42">
        <v>1.82</v>
      </c>
      <c r="AJ44" s="42">
        <v>1.9</v>
      </c>
      <c r="AK44" s="42">
        <v>2</v>
      </c>
      <c r="AL44" s="42">
        <v>1.98</v>
      </c>
      <c r="AM44" s="42">
        <v>1.6</v>
      </c>
      <c r="AN44" s="42">
        <v>1.75</v>
      </c>
      <c r="AO44" s="42">
        <v>1.91</v>
      </c>
      <c r="AP44" s="42">
        <v>1.88</v>
      </c>
      <c r="AQ44" s="43">
        <v>1.76</v>
      </c>
      <c r="AR44" s="41">
        <v>1.29</v>
      </c>
      <c r="AS44" s="42">
        <v>1.49</v>
      </c>
      <c r="AT44" s="42">
        <v>1.1100000000000001</v>
      </c>
      <c r="AU44" s="42">
        <v>1.33</v>
      </c>
      <c r="AV44" s="42">
        <v>1.45</v>
      </c>
      <c r="AW44" s="42">
        <v>1.93</v>
      </c>
      <c r="AX44" s="42">
        <v>1.63</v>
      </c>
      <c r="AY44" s="42">
        <v>1.27</v>
      </c>
      <c r="AZ44" s="42">
        <v>0.97</v>
      </c>
      <c r="BA44" s="43">
        <v>0.78</v>
      </c>
      <c r="BB44" s="83">
        <v>0.79</v>
      </c>
      <c r="BC44" s="84">
        <v>0.79</v>
      </c>
      <c r="BD44" s="84">
        <v>1.0900000000000001</v>
      </c>
      <c r="BE44" s="85">
        <v>1.44</v>
      </c>
      <c r="BF44" s="86">
        <v>1.45</v>
      </c>
      <c r="BG44" s="86">
        <v>1.84</v>
      </c>
      <c r="BH44" s="86">
        <v>1.48</v>
      </c>
      <c r="BI44" s="86">
        <v>1.63</v>
      </c>
      <c r="BJ44" s="86">
        <v>1.59</v>
      </c>
      <c r="BK44" s="108">
        <v>1.64</v>
      </c>
      <c r="BL44" s="129">
        <v>0.79</v>
      </c>
      <c r="BM44" s="86">
        <v>1.25</v>
      </c>
      <c r="BN44" s="86">
        <v>1.1000000000000001</v>
      </c>
      <c r="BO44" s="133">
        <v>1.06</v>
      </c>
      <c r="BP44" s="133">
        <v>0.99</v>
      </c>
      <c r="BQ44" s="108">
        <f>ROUND(('Annual Change'!BQ44/Population!BP44)*100,2)</f>
        <v>0.75</v>
      </c>
    </row>
    <row r="49" spans="44:53" x14ac:dyDescent="0.2">
      <c r="AR49" s="73"/>
      <c r="AS49" s="73"/>
      <c r="AT49" s="73"/>
      <c r="AU49" s="73"/>
      <c r="AV49" s="73"/>
      <c r="AW49" s="73"/>
      <c r="AX49" s="73"/>
      <c r="AY49" s="73"/>
      <c r="AZ49" s="73"/>
      <c r="BA49" s="73"/>
    </row>
    <row r="50" spans="44:53" x14ac:dyDescent="0.2">
      <c r="AR50" s="73"/>
      <c r="AS50" s="73"/>
      <c r="AT50" s="73"/>
      <c r="AU50" s="73"/>
      <c r="AV50" s="73"/>
      <c r="AW50" s="73"/>
      <c r="AX50" s="73"/>
      <c r="AY50" s="73"/>
      <c r="AZ50" s="73"/>
      <c r="BA50" s="73"/>
    </row>
    <row r="51" spans="44:53" x14ac:dyDescent="0.2">
      <c r="AR51" s="73"/>
      <c r="AS51" s="73"/>
      <c r="AT51" s="73"/>
      <c r="AU51" s="73"/>
      <c r="AV51" s="73"/>
      <c r="AW51" s="73"/>
      <c r="AX51" s="73"/>
      <c r="AY51" s="73"/>
      <c r="AZ51" s="73"/>
      <c r="BA51" s="73"/>
    </row>
    <row r="52" spans="44:53" x14ac:dyDescent="0.2">
      <c r="AR52" s="73"/>
      <c r="AS52" s="73"/>
      <c r="AT52" s="73"/>
      <c r="AU52" s="73"/>
      <c r="AV52" s="73"/>
      <c r="AW52" s="73"/>
      <c r="AX52" s="73"/>
      <c r="AY52" s="73"/>
      <c r="AZ52" s="73"/>
      <c r="BA52" s="73"/>
    </row>
    <row r="53" spans="44:53" x14ac:dyDescent="0.2">
      <c r="AR53" s="73"/>
      <c r="AS53" s="73"/>
      <c r="AT53" s="73"/>
      <c r="AU53" s="73"/>
      <c r="AV53" s="73"/>
      <c r="AW53" s="73"/>
      <c r="AX53" s="73"/>
      <c r="AY53" s="73"/>
      <c r="AZ53" s="73"/>
      <c r="BA53" s="73"/>
    </row>
    <row r="54" spans="44:53" x14ac:dyDescent="0.2">
      <c r="AR54" s="73"/>
      <c r="AS54" s="73"/>
      <c r="AT54" s="73"/>
      <c r="AU54" s="73"/>
      <c r="AV54" s="73"/>
      <c r="AW54" s="73"/>
      <c r="AX54" s="73"/>
      <c r="AY54" s="73"/>
      <c r="AZ54" s="73"/>
      <c r="BA54" s="73"/>
    </row>
    <row r="55" spans="44:53" x14ac:dyDescent="0.2">
      <c r="AR55" s="73"/>
      <c r="AS55" s="73"/>
      <c r="AT55" s="73"/>
      <c r="AU55" s="73"/>
      <c r="AV55" s="73"/>
      <c r="AW55" s="73"/>
      <c r="AX55" s="73"/>
      <c r="AY55" s="73"/>
      <c r="AZ55" s="73"/>
      <c r="BA55" s="73"/>
    </row>
    <row r="56" spans="44:53" x14ac:dyDescent="0.2">
      <c r="AR56" s="73"/>
      <c r="AS56" s="73"/>
      <c r="AT56" s="73"/>
      <c r="AU56" s="73"/>
      <c r="AV56" s="73"/>
      <c r="AW56" s="73"/>
      <c r="AX56" s="73"/>
      <c r="AY56" s="73"/>
      <c r="AZ56" s="73"/>
      <c r="BA56" s="73"/>
    </row>
    <row r="57" spans="44:53" x14ac:dyDescent="0.2">
      <c r="AR57" s="73"/>
      <c r="AS57" s="73"/>
      <c r="AT57" s="73"/>
      <c r="AU57" s="73"/>
      <c r="AV57" s="73"/>
      <c r="AW57" s="73"/>
      <c r="AX57" s="73"/>
      <c r="AY57" s="73"/>
      <c r="AZ57" s="73"/>
      <c r="BA57" s="73"/>
    </row>
    <row r="58" spans="44:53" x14ac:dyDescent="0.2">
      <c r="AR58" s="73"/>
      <c r="AS58" s="73"/>
      <c r="AT58" s="73"/>
      <c r="AU58" s="73"/>
      <c r="AV58" s="73"/>
      <c r="AW58" s="73"/>
      <c r="AX58" s="73"/>
      <c r="AY58" s="73"/>
      <c r="AZ58" s="73"/>
      <c r="BA58" s="73"/>
    </row>
    <row r="59" spans="44:53" x14ac:dyDescent="0.2">
      <c r="AR59" s="73"/>
      <c r="AS59" s="73"/>
      <c r="AT59" s="73"/>
      <c r="AU59" s="73"/>
      <c r="AV59" s="73"/>
      <c r="AW59" s="73"/>
      <c r="AX59" s="73"/>
      <c r="AY59" s="73"/>
      <c r="AZ59" s="73"/>
      <c r="BA59" s="73"/>
    </row>
    <row r="60" spans="44:53" x14ac:dyDescent="0.2">
      <c r="AR60" s="73"/>
      <c r="AS60" s="73"/>
      <c r="AT60" s="73"/>
      <c r="AU60" s="73"/>
      <c r="AV60" s="73"/>
      <c r="AW60" s="73"/>
      <c r="AX60" s="73"/>
      <c r="AY60" s="73"/>
      <c r="AZ60" s="73"/>
      <c r="BA60" s="73"/>
    </row>
    <row r="61" spans="44:53" x14ac:dyDescent="0.2">
      <c r="AR61" s="73"/>
      <c r="AS61" s="73"/>
      <c r="AT61" s="73"/>
      <c r="AU61" s="73"/>
      <c r="AV61" s="73"/>
      <c r="AW61" s="73"/>
      <c r="AX61" s="73"/>
      <c r="AY61" s="73"/>
      <c r="AZ61" s="73"/>
      <c r="BA61" s="73"/>
    </row>
    <row r="62" spans="44:53" x14ac:dyDescent="0.2">
      <c r="AR62" s="73"/>
      <c r="AS62" s="73"/>
      <c r="AT62" s="73"/>
      <c r="AU62" s="73"/>
      <c r="AV62" s="73"/>
      <c r="AW62" s="73"/>
      <c r="AX62" s="73"/>
      <c r="AY62" s="73"/>
      <c r="AZ62" s="73"/>
      <c r="BA62" s="73"/>
    </row>
    <row r="63" spans="44:53" x14ac:dyDescent="0.2">
      <c r="AR63" s="73"/>
      <c r="AS63" s="73"/>
      <c r="AT63" s="73"/>
      <c r="AU63" s="73"/>
      <c r="AV63" s="73"/>
      <c r="AW63" s="73"/>
      <c r="AX63" s="73"/>
      <c r="AY63" s="73"/>
      <c r="AZ63" s="73"/>
      <c r="BA63" s="73"/>
    </row>
    <row r="64" spans="44:53" x14ac:dyDescent="0.2">
      <c r="AR64" s="73"/>
      <c r="AS64" s="73"/>
      <c r="AT64" s="73"/>
      <c r="AU64" s="73"/>
      <c r="AV64" s="73"/>
      <c r="AW64" s="73"/>
      <c r="AX64" s="73"/>
      <c r="AY64" s="73"/>
      <c r="AZ64" s="73"/>
      <c r="BA64" s="73"/>
    </row>
    <row r="65" spans="44:53" x14ac:dyDescent="0.2">
      <c r="AR65" s="73"/>
      <c r="AS65" s="73"/>
      <c r="AT65" s="73"/>
      <c r="AU65" s="73"/>
      <c r="AV65" s="73"/>
      <c r="AW65" s="73"/>
      <c r="AX65" s="73"/>
      <c r="AY65" s="73"/>
      <c r="AZ65" s="73"/>
      <c r="BA65" s="73"/>
    </row>
    <row r="66" spans="44:53" x14ac:dyDescent="0.2">
      <c r="AR66" s="73"/>
      <c r="AS66" s="73"/>
      <c r="AT66" s="73"/>
      <c r="AU66" s="73"/>
      <c r="AV66" s="73"/>
      <c r="AW66" s="73"/>
      <c r="AX66" s="73"/>
      <c r="AY66" s="73"/>
      <c r="AZ66" s="73"/>
      <c r="BA66" s="73"/>
    </row>
    <row r="67" spans="44:53" x14ac:dyDescent="0.2">
      <c r="AR67" s="73"/>
      <c r="AS67" s="73"/>
      <c r="AT67" s="73"/>
      <c r="AU67" s="73"/>
      <c r="AV67" s="73"/>
      <c r="AW67" s="73"/>
      <c r="AX67" s="73"/>
      <c r="AY67" s="73"/>
      <c r="AZ67" s="73"/>
      <c r="BA67" s="73"/>
    </row>
    <row r="68" spans="44:53" x14ac:dyDescent="0.2">
      <c r="AR68" s="73"/>
      <c r="AS68" s="73"/>
      <c r="AT68" s="73"/>
      <c r="AU68" s="73"/>
      <c r="AV68" s="73"/>
      <c r="AW68" s="73"/>
      <c r="AX68" s="73"/>
      <c r="AY68" s="73"/>
      <c r="AZ68" s="73"/>
      <c r="BA68" s="73"/>
    </row>
    <row r="69" spans="44:53" x14ac:dyDescent="0.2">
      <c r="AR69" s="73"/>
      <c r="AS69" s="73"/>
      <c r="AT69" s="73"/>
      <c r="AU69" s="73"/>
      <c r="AV69" s="73"/>
      <c r="AW69" s="73"/>
      <c r="AX69" s="73"/>
      <c r="AY69" s="73"/>
      <c r="AZ69" s="73"/>
      <c r="BA69" s="73"/>
    </row>
    <row r="70" spans="44:53" x14ac:dyDescent="0.2">
      <c r="AR70" s="73"/>
      <c r="AS70" s="73"/>
      <c r="AT70" s="73"/>
      <c r="AU70" s="73"/>
      <c r="AV70" s="73"/>
      <c r="AW70" s="73"/>
      <c r="AX70" s="73"/>
      <c r="AY70" s="73"/>
      <c r="AZ70" s="73"/>
      <c r="BA70" s="73"/>
    </row>
    <row r="71" spans="44:53" x14ac:dyDescent="0.2">
      <c r="AR71" s="73"/>
      <c r="AS71" s="73"/>
      <c r="AT71" s="73"/>
      <c r="AU71" s="73"/>
      <c r="AV71" s="73"/>
      <c r="AW71" s="73"/>
      <c r="AX71" s="73"/>
      <c r="AY71" s="73"/>
      <c r="AZ71" s="73"/>
      <c r="BA71" s="73"/>
    </row>
    <row r="72" spans="44:53" x14ac:dyDescent="0.2">
      <c r="AR72" s="73"/>
      <c r="AS72" s="73"/>
      <c r="AT72" s="73"/>
      <c r="AU72" s="73"/>
      <c r="AV72" s="73"/>
      <c r="AW72" s="73"/>
      <c r="AX72" s="73"/>
      <c r="AY72" s="73"/>
      <c r="AZ72" s="73"/>
      <c r="BA72" s="73"/>
    </row>
    <row r="73" spans="44:53" x14ac:dyDescent="0.2">
      <c r="AR73" s="73"/>
      <c r="AS73" s="73"/>
      <c r="AT73" s="73"/>
      <c r="AU73" s="73"/>
      <c r="AV73" s="73"/>
      <c r="AW73" s="73"/>
      <c r="AX73" s="73"/>
      <c r="AY73" s="73"/>
      <c r="AZ73" s="73"/>
      <c r="BA73" s="73"/>
    </row>
    <row r="74" spans="44:53" x14ac:dyDescent="0.2">
      <c r="AR74" s="73"/>
      <c r="AS74" s="73"/>
      <c r="AT74" s="73"/>
      <c r="AU74" s="73"/>
      <c r="AV74" s="73"/>
      <c r="AW74" s="73"/>
      <c r="AX74" s="73"/>
      <c r="AY74" s="73"/>
      <c r="AZ74" s="73"/>
      <c r="BA74" s="73"/>
    </row>
    <row r="75" spans="44:53" x14ac:dyDescent="0.2">
      <c r="AR75" s="73"/>
      <c r="AS75" s="73"/>
      <c r="AT75" s="73"/>
      <c r="AU75" s="73"/>
      <c r="AV75" s="73"/>
      <c r="AW75" s="73"/>
      <c r="AX75" s="73"/>
      <c r="AY75" s="73"/>
      <c r="AZ75" s="73"/>
      <c r="BA75" s="73"/>
    </row>
    <row r="76" spans="44:53" x14ac:dyDescent="0.2">
      <c r="AR76" s="73"/>
      <c r="AS76" s="73"/>
      <c r="AT76" s="73"/>
      <c r="AU76" s="73"/>
      <c r="AV76" s="73"/>
      <c r="AW76" s="73"/>
      <c r="AX76" s="73"/>
      <c r="AY76" s="73"/>
      <c r="AZ76" s="73"/>
      <c r="BA76" s="73"/>
    </row>
    <row r="77" spans="44:53" x14ac:dyDescent="0.2">
      <c r="AR77" s="73"/>
      <c r="AS77" s="73"/>
      <c r="AT77" s="73"/>
      <c r="AU77" s="73"/>
      <c r="AV77" s="73"/>
      <c r="AW77" s="73"/>
      <c r="AX77" s="73"/>
      <c r="AY77" s="73"/>
      <c r="AZ77" s="73"/>
      <c r="BA77" s="73"/>
    </row>
    <row r="78" spans="44:53" x14ac:dyDescent="0.2">
      <c r="AR78" s="73"/>
      <c r="AS78" s="73"/>
      <c r="AT78" s="73"/>
      <c r="AU78" s="73"/>
      <c r="AV78" s="73"/>
      <c r="AW78" s="73"/>
      <c r="AX78" s="73"/>
      <c r="AY78" s="73"/>
      <c r="AZ78" s="73"/>
      <c r="BA78" s="73"/>
    </row>
    <row r="79" spans="44:53" x14ac:dyDescent="0.2">
      <c r="AR79" s="73"/>
      <c r="AS79" s="73"/>
      <c r="AT79" s="73"/>
      <c r="AU79" s="73"/>
      <c r="AV79" s="73"/>
      <c r="AW79" s="73"/>
      <c r="AX79" s="73"/>
      <c r="AY79" s="73"/>
      <c r="AZ79" s="73"/>
      <c r="BA79" s="73"/>
    </row>
    <row r="80" spans="44:53" x14ac:dyDescent="0.2">
      <c r="AR80" s="73"/>
      <c r="AS80" s="73"/>
      <c r="AT80" s="73"/>
      <c r="AU80" s="73"/>
      <c r="AV80" s="73"/>
      <c r="AW80" s="73"/>
      <c r="AX80" s="73"/>
      <c r="AY80" s="73"/>
      <c r="AZ80" s="73"/>
      <c r="BA80" s="73"/>
    </row>
    <row r="81" spans="44:53" x14ac:dyDescent="0.2">
      <c r="AR81" s="73"/>
      <c r="AS81" s="73"/>
      <c r="AT81" s="73"/>
      <c r="AU81" s="73"/>
      <c r="AV81" s="73"/>
      <c r="AW81" s="73"/>
      <c r="AX81" s="73"/>
      <c r="AY81" s="73"/>
      <c r="AZ81" s="73"/>
      <c r="BA81" s="73"/>
    </row>
    <row r="82" spans="44:53" x14ac:dyDescent="0.2">
      <c r="AR82" s="73"/>
      <c r="AS82" s="73"/>
      <c r="AT82" s="73"/>
      <c r="AU82" s="73"/>
      <c r="AV82" s="73"/>
      <c r="AW82" s="73"/>
      <c r="AX82" s="73"/>
      <c r="AY82" s="73"/>
      <c r="AZ82" s="73"/>
      <c r="BA82" s="73"/>
    </row>
    <row r="83" spans="44:53" x14ac:dyDescent="0.2">
      <c r="AR83" s="73"/>
      <c r="AS83" s="73"/>
      <c r="AT83" s="73"/>
      <c r="AU83" s="73"/>
      <c r="AV83" s="73"/>
      <c r="AW83" s="73"/>
      <c r="AX83" s="73"/>
      <c r="AY83" s="73"/>
      <c r="AZ83" s="73"/>
      <c r="BA83" s="73"/>
    </row>
    <row r="84" spans="44:53" x14ac:dyDescent="0.2">
      <c r="AR84" s="73"/>
      <c r="AS84" s="73"/>
      <c r="AT84" s="73"/>
      <c r="AU84" s="73"/>
      <c r="AV84" s="73"/>
      <c r="AW84" s="73"/>
      <c r="AX84" s="73"/>
      <c r="AY84" s="73"/>
      <c r="AZ84" s="73"/>
      <c r="BA84" s="73"/>
    </row>
    <row r="85" spans="44:53" x14ac:dyDescent="0.2">
      <c r="AR85" s="73"/>
      <c r="AS85" s="73"/>
      <c r="AT85" s="73"/>
      <c r="AU85" s="73"/>
      <c r="AV85" s="73"/>
      <c r="AW85" s="73"/>
      <c r="AX85" s="73"/>
      <c r="AY85" s="73"/>
      <c r="AZ85" s="73"/>
      <c r="BA85" s="73"/>
    </row>
    <row r="86" spans="44:53" x14ac:dyDescent="0.2">
      <c r="AR86" s="73"/>
      <c r="AS86" s="73"/>
      <c r="AT86" s="73"/>
      <c r="AU86" s="73"/>
      <c r="AV86" s="73"/>
      <c r="AW86" s="73"/>
      <c r="AX86" s="73"/>
      <c r="AY86" s="73"/>
      <c r="AZ86" s="73"/>
      <c r="BA86" s="73"/>
    </row>
    <row r="87" spans="44:53" x14ac:dyDescent="0.2">
      <c r="AR87" s="73"/>
      <c r="AS87" s="73"/>
      <c r="AT87" s="73"/>
      <c r="AU87" s="73"/>
      <c r="AV87" s="73"/>
      <c r="AW87" s="73"/>
      <c r="AX87" s="73"/>
      <c r="AY87" s="73"/>
      <c r="AZ87" s="73"/>
      <c r="BA87" s="73"/>
    </row>
    <row r="88" spans="44:53" x14ac:dyDescent="0.2">
      <c r="AR88" s="73"/>
      <c r="AS88" s="73"/>
      <c r="AT88" s="73"/>
      <c r="AU88" s="73"/>
      <c r="AV88" s="73"/>
      <c r="AW88" s="73"/>
      <c r="AX88" s="73"/>
      <c r="AY88" s="73"/>
      <c r="AZ88" s="73"/>
      <c r="BA88" s="73"/>
    </row>
    <row r="90" spans="44:53" x14ac:dyDescent="0.2">
      <c r="AR90" s="73"/>
      <c r="AS90" s="73"/>
      <c r="AT90" s="73"/>
      <c r="AU90" s="73"/>
      <c r="AV90" s="73"/>
      <c r="AW90" s="73"/>
      <c r="AX90" s="73"/>
      <c r="AY90" s="73"/>
      <c r="AZ90" s="73"/>
      <c r="BA90" s="73"/>
    </row>
    <row r="91" spans="44:53" x14ac:dyDescent="0.2">
      <c r="AR91" s="73"/>
      <c r="AS91" s="73"/>
      <c r="AT91" s="73"/>
      <c r="AU91" s="73"/>
      <c r="AV91" s="73"/>
      <c r="AW91" s="73"/>
      <c r="AX91" s="73"/>
      <c r="AY91" s="73"/>
      <c r="AZ91" s="73"/>
      <c r="BA91" s="73"/>
    </row>
    <row r="92" spans="44:53" x14ac:dyDescent="0.2">
      <c r="AR92" s="73"/>
      <c r="AS92" s="73"/>
      <c r="AT92" s="73"/>
      <c r="AU92" s="73"/>
      <c r="AV92" s="73"/>
      <c r="AW92" s="73"/>
      <c r="AX92" s="73"/>
      <c r="AY92" s="73"/>
      <c r="AZ92" s="73"/>
      <c r="BA92" s="73"/>
    </row>
    <row r="93" spans="44:53" x14ac:dyDescent="0.2">
      <c r="AR93" s="73"/>
      <c r="AS93" s="73"/>
      <c r="AT93" s="73"/>
      <c r="AU93" s="73"/>
      <c r="AV93" s="73"/>
      <c r="AW93" s="73"/>
      <c r="AX93" s="73"/>
      <c r="AY93" s="73"/>
      <c r="AZ93" s="73"/>
      <c r="BA93" s="73"/>
    </row>
    <row r="94" spans="44:53" x14ac:dyDescent="0.2">
      <c r="AR94" s="73"/>
      <c r="AS94" s="73"/>
      <c r="AT94" s="73"/>
      <c r="AU94" s="73"/>
      <c r="AV94" s="73"/>
      <c r="AW94" s="73"/>
      <c r="AX94" s="73"/>
      <c r="AY94" s="73"/>
      <c r="AZ94" s="73"/>
      <c r="BA94" s="73"/>
    </row>
    <row r="95" spans="44:53" x14ac:dyDescent="0.2">
      <c r="AR95" s="73"/>
      <c r="AS95" s="73"/>
      <c r="AT95" s="73"/>
      <c r="AU95" s="73"/>
      <c r="AV95" s="73"/>
      <c r="AW95" s="73"/>
      <c r="AX95" s="73"/>
      <c r="AY95" s="73"/>
      <c r="AZ95" s="73"/>
      <c r="BA95" s="73"/>
    </row>
    <row r="96" spans="44:53" x14ac:dyDescent="0.2">
      <c r="AR96" s="73"/>
      <c r="AS96" s="73"/>
      <c r="AT96" s="73"/>
      <c r="AU96" s="73"/>
      <c r="AV96" s="73"/>
      <c r="AW96" s="73"/>
      <c r="AX96" s="73"/>
      <c r="AY96" s="73"/>
      <c r="AZ96" s="73"/>
      <c r="BA96" s="73"/>
    </row>
    <row r="97" spans="44:53" x14ac:dyDescent="0.2">
      <c r="AR97" s="73"/>
      <c r="AS97" s="73"/>
      <c r="AT97" s="73"/>
      <c r="AU97" s="73"/>
      <c r="AV97" s="73"/>
      <c r="AW97" s="73"/>
      <c r="AX97" s="73"/>
      <c r="AY97" s="73"/>
      <c r="AZ97" s="73"/>
      <c r="BA97" s="73"/>
    </row>
    <row r="98" spans="44:53" x14ac:dyDescent="0.2">
      <c r="AR98" s="73"/>
      <c r="AS98" s="73"/>
      <c r="AT98" s="73"/>
      <c r="AU98" s="73"/>
      <c r="AV98" s="73"/>
      <c r="AW98" s="73"/>
      <c r="AX98" s="73"/>
      <c r="AY98" s="73"/>
      <c r="AZ98" s="73"/>
      <c r="BA98" s="73"/>
    </row>
    <row r="99" spans="44:53" x14ac:dyDescent="0.2">
      <c r="AR99" s="73"/>
      <c r="AS99" s="73"/>
      <c r="AT99" s="73"/>
      <c r="AU99" s="73"/>
      <c r="AV99" s="73"/>
      <c r="AW99" s="73"/>
      <c r="AX99" s="73"/>
      <c r="AY99" s="73"/>
      <c r="AZ99" s="73"/>
      <c r="BA99" s="73"/>
    </row>
    <row r="100" spans="44:53" x14ac:dyDescent="0.2"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</row>
    <row r="101" spans="44:53" x14ac:dyDescent="0.2"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</row>
    <row r="102" spans="44:53" x14ac:dyDescent="0.2"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</row>
    <row r="103" spans="44:53" x14ac:dyDescent="0.2"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</row>
    <row r="104" spans="44:53" x14ac:dyDescent="0.2"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</row>
    <row r="105" spans="44:53" x14ac:dyDescent="0.2"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</row>
    <row r="106" spans="44:53" x14ac:dyDescent="0.2"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</row>
    <row r="107" spans="44:53" x14ac:dyDescent="0.2"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</row>
    <row r="108" spans="44:53" x14ac:dyDescent="0.2"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</row>
    <row r="109" spans="44:53" x14ac:dyDescent="0.2"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</row>
    <row r="110" spans="44:53" x14ac:dyDescent="0.2"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</row>
    <row r="111" spans="44:53" x14ac:dyDescent="0.2"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</row>
    <row r="112" spans="44:53" x14ac:dyDescent="0.2"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</row>
    <row r="113" spans="44:53" x14ac:dyDescent="0.2"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</row>
    <row r="114" spans="44:53" x14ac:dyDescent="0.2"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</row>
    <row r="115" spans="44:53" x14ac:dyDescent="0.2"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</row>
    <row r="116" spans="44:53" x14ac:dyDescent="0.2"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</row>
    <row r="117" spans="44:53" x14ac:dyDescent="0.2"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</row>
    <row r="118" spans="44:53" x14ac:dyDescent="0.2"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</row>
    <row r="119" spans="44:53" x14ac:dyDescent="0.2"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</row>
    <row r="120" spans="44:53" x14ac:dyDescent="0.2"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</row>
    <row r="121" spans="44:53" x14ac:dyDescent="0.2"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</row>
    <row r="122" spans="44:53" x14ac:dyDescent="0.2"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</row>
    <row r="123" spans="44:53" x14ac:dyDescent="0.2"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</row>
    <row r="124" spans="44:53" x14ac:dyDescent="0.2"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</row>
    <row r="125" spans="44:53" x14ac:dyDescent="0.2"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</row>
    <row r="126" spans="44:53" x14ac:dyDescent="0.2"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</row>
    <row r="127" spans="44:53" x14ac:dyDescent="0.2"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</row>
    <row r="128" spans="44:53" x14ac:dyDescent="0.2"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</row>
    <row r="129" spans="44:53" x14ac:dyDescent="0.2"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</row>
    <row r="130" spans="44:53" x14ac:dyDescent="0.2"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</row>
    <row r="131" spans="44:53" x14ac:dyDescent="0.2"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</row>
    <row r="132" spans="44:53" x14ac:dyDescent="0.2"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</row>
    <row r="133" spans="44:53" x14ac:dyDescent="0.2"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</row>
    <row r="134" spans="44:53" x14ac:dyDescent="0.2"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</row>
    <row r="135" spans="44:53" x14ac:dyDescent="0.2"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</row>
    <row r="136" spans="44:53" x14ac:dyDescent="0.2"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</row>
    <row r="137" spans="44:53" x14ac:dyDescent="0.2"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</row>
    <row r="138" spans="44:53" x14ac:dyDescent="0.2"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</row>
    <row r="139" spans="44:53" x14ac:dyDescent="0.2"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</row>
    <row r="140" spans="44:53" x14ac:dyDescent="0.2"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</row>
    <row r="141" spans="44:53" x14ac:dyDescent="0.2"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</row>
    <row r="142" spans="44:53" x14ac:dyDescent="0.2"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</row>
    <row r="143" spans="44:53" x14ac:dyDescent="0.2"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</row>
    <row r="144" spans="44:53" x14ac:dyDescent="0.2"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</row>
    <row r="145" spans="44:53" x14ac:dyDescent="0.2"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</row>
    <row r="146" spans="44:53" x14ac:dyDescent="0.2"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</row>
    <row r="147" spans="44:53" x14ac:dyDescent="0.2"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</row>
    <row r="148" spans="44:53" x14ac:dyDescent="0.2"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</row>
    <row r="149" spans="44:53" x14ac:dyDescent="0.2"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</row>
    <row r="150" spans="44:53" x14ac:dyDescent="0.2"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</row>
    <row r="151" spans="44:53" x14ac:dyDescent="0.2"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</row>
    <row r="152" spans="44:53" x14ac:dyDescent="0.2"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</row>
    <row r="153" spans="44:53" x14ac:dyDescent="0.2"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</row>
    <row r="154" spans="44:53" x14ac:dyDescent="0.2"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</row>
    <row r="155" spans="44:53" x14ac:dyDescent="0.2"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</row>
    <row r="156" spans="44:53" x14ac:dyDescent="0.2"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</row>
    <row r="157" spans="44:53" x14ac:dyDescent="0.2"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</row>
  </sheetData>
  <pageMargins left="0.5" right="0.5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44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0" style="4" customWidth="1"/>
    <col min="23" max="23" width="10" style="5" customWidth="1"/>
    <col min="24" max="62" width="10" style="4" customWidth="1"/>
    <col min="63" max="63" width="10" style="6" customWidth="1"/>
    <col min="64" max="64" width="10" style="112" customWidth="1"/>
    <col min="65" max="69" width="10" style="6" customWidth="1"/>
    <col min="70" max="16384" width="9.33203125" style="6"/>
  </cols>
  <sheetData>
    <row r="1" spans="1:69" s="9" customFormat="1" ht="12" x14ac:dyDescent="0.2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  <c r="BD1" s="71"/>
      <c r="BE1" s="71"/>
      <c r="BF1" s="71"/>
      <c r="BG1" s="71"/>
      <c r="BH1" s="71"/>
      <c r="BI1" s="71"/>
      <c r="BJ1" s="71"/>
      <c r="BK1" s="71"/>
      <c r="BL1" s="111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  <c r="BD2" s="71"/>
      <c r="BE2" s="71"/>
      <c r="BF2" s="71"/>
      <c r="BG2" s="71"/>
      <c r="BH2" s="71"/>
      <c r="BI2" s="71"/>
      <c r="BJ2" s="71"/>
      <c r="BK2" s="71"/>
      <c r="BL2" s="111"/>
    </row>
    <row r="4" spans="1:69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365</v>
      </c>
      <c r="E4" s="28" t="s">
        <v>366</v>
      </c>
      <c r="F4" s="28" t="s">
        <v>367</v>
      </c>
      <c r="G4" s="28" t="s">
        <v>368</v>
      </c>
      <c r="H4" s="28" t="s">
        <v>369</v>
      </c>
      <c r="I4" s="28" t="s">
        <v>370</v>
      </c>
      <c r="J4" s="28" t="s">
        <v>371</v>
      </c>
      <c r="K4" s="28" t="s">
        <v>372</v>
      </c>
      <c r="L4" s="28" t="s">
        <v>373</v>
      </c>
      <c r="M4" s="29" t="s">
        <v>374</v>
      </c>
      <c r="N4" s="27" t="s">
        <v>375</v>
      </c>
      <c r="O4" s="28" t="s">
        <v>376</v>
      </c>
      <c r="P4" s="28" t="s">
        <v>377</v>
      </c>
      <c r="Q4" s="28" t="s">
        <v>378</v>
      </c>
      <c r="R4" s="28" t="s">
        <v>379</v>
      </c>
      <c r="S4" s="28" t="s">
        <v>380</v>
      </c>
      <c r="T4" s="28" t="s">
        <v>381</v>
      </c>
      <c r="U4" s="28" t="s">
        <v>382</v>
      </c>
      <c r="V4" s="28" t="s">
        <v>383</v>
      </c>
      <c r="W4" s="29" t="s">
        <v>384</v>
      </c>
      <c r="X4" s="27" t="s">
        <v>385</v>
      </c>
      <c r="Y4" s="28" t="s">
        <v>386</v>
      </c>
      <c r="Z4" s="28" t="s">
        <v>387</v>
      </c>
      <c r="AA4" s="28" t="s">
        <v>388</v>
      </c>
      <c r="AB4" s="28" t="s">
        <v>389</v>
      </c>
      <c r="AC4" s="28" t="s">
        <v>390</v>
      </c>
      <c r="AD4" s="28" t="s">
        <v>391</v>
      </c>
      <c r="AE4" s="28" t="s">
        <v>392</v>
      </c>
      <c r="AF4" s="28" t="s">
        <v>393</v>
      </c>
      <c r="AG4" s="29" t="s">
        <v>394</v>
      </c>
      <c r="AH4" s="27" t="s">
        <v>395</v>
      </c>
      <c r="AI4" s="28" t="s">
        <v>396</v>
      </c>
      <c r="AJ4" s="28" t="s">
        <v>397</v>
      </c>
      <c r="AK4" s="28" t="s">
        <v>398</v>
      </c>
      <c r="AL4" s="28" t="s">
        <v>399</v>
      </c>
      <c r="AM4" s="28" t="s">
        <v>364</v>
      </c>
      <c r="AN4" s="28" t="s">
        <v>400</v>
      </c>
      <c r="AO4" s="28" t="s">
        <v>401</v>
      </c>
      <c r="AP4" s="28" t="s">
        <v>402</v>
      </c>
      <c r="AQ4" s="29" t="s">
        <v>403</v>
      </c>
      <c r="AR4" s="27" t="s">
        <v>404</v>
      </c>
      <c r="AS4" s="28" t="s">
        <v>405</v>
      </c>
      <c r="AT4" s="28" t="s">
        <v>406</v>
      </c>
      <c r="AU4" s="28" t="s">
        <v>407</v>
      </c>
      <c r="AV4" s="28" t="s">
        <v>408</v>
      </c>
      <c r="AW4" s="28" t="s">
        <v>409</v>
      </c>
      <c r="AX4" s="28" t="s">
        <v>410</v>
      </c>
      <c r="AY4" s="28" t="s">
        <v>411</v>
      </c>
      <c r="AZ4" s="28" t="s">
        <v>412</v>
      </c>
      <c r="BA4" s="29" t="s">
        <v>413</v>
      </c>
      <c r="BB4" s="27" t="s">
        <v>414</v>
      </c>
      <c r="BC4" s="28" t="s">
        <v>415</v>
      </c>
      <c r="BD4" s="28" t="s">
        <v>416</v>
      </c>
      <c r="BE4" s="37" t="s">
        <v>417</v>
      </c>
      <c r="BF4" s="72" t="s">
        <v>418</v>
      </c>
      <c r="BG4" s="72" t="s">
        <v>419</v>
      </c>
      <c r="BH4" s="72" t="s">
        <v>420</v>
      </c>
      <c r="BI4" s="72" t="s">
        <v>431</v>
      </c>
      <c r="BJ4" s="72" t="s">
        <v>436</v>
      </c>
      <c r="BK4" s="66" t="s">
        <v>441</v>
      </c>
      <c r="BL4" s="97" t="s">
        <v>469</v>
      </c>
      <c r="BM4" s="72" t="s">
        <v>463</v>
      </c>
      <c r="BN4" s="72" t="s">
        <v>470</v>
      </c>
      <c r="BO4" s="117" t="s">
        <v>547</v>
      </c>
      <c r="BP4" s="117" t="s">
        <v>554</v>
      </c>
      <c r="BQ4" s="66" t="s">
        <v>562</v>
      </c>
    </row>
    <row r="5" spans="1:69" x14ac:dyDescent="0.2">
      <c r="A5" s="20" t="s">
        <v>0</v>
      </c>
      <c r="B5" s="21" t="s">
        <v>1</v>
      </c>
      <c r="C5" s="25" t="s">
        <v>2</v>
      </c>
      <c r="D5" s="30">
        <v>250</v>
      </c>
      <c r="E5" s="31">
        <v>252</v>
      </c>
      <c r="F5" s="31">
        <v>294</v>
      </c>
      <c r="G5" s="31">
        <v>218</v>
      </c>
      <c r="H5" s="31">
        <v>252</v>
      </c>
      <c r="I5" s="31">
        <v>187</v>
      </c>
      <c r="J5" s="31">
        <v>201</v>
      </c>
      <c r="K5" s="31">
        <v>227</v>
      </c>
      <c r="L5" s="31">
        <v>230</v>
      </c>
      <c r="M5" s="32">
        <v>216</v>
      </c>
      <c r="N5" s="30">
        <v>261</v>
      </c>
      <c r="O5" s="31">
        <v>263</v>
      </c>
      <c r="P5" s="31">
        <v>228</v>
      </c>
      <c r="Q5" s="31">
        <v>238</v>
      </c>
      <c r="R5" s="31">
        <v>256</v>
      </c>
      <c r="S5" s="31">
        <v>282</v>
      </c>
      <c r="T5" s="31">
        <v>314</v>
      </c>
      <c r="U5" s="31">
        <v>330</v>
      </c>
      <c r="V5" s="31">
        <v>320</v>
      </c>
      <c r="W5" s="32">
        <v>304</v>
      </c>
      <c r="X5" s="30">
        <v>308</v>
      </c>
      <c r="Y5" s="31">
        <v>307</v>
      </c>
      <c r="Z5" s="31">
        <v>287</v>
      </c>
      <c r="AA5" s="31">
        <v>296</v>
      </c>
      <c r="AB5" s="31">
        <v>306</v>
      </c>
      <c r="AC5" s="31">
        <v>282</v>
      </c>
      <c r="AD5" s="31">
        <v>259</v>
      </c>
      <c r="AE5" s="31">
        <v>267</v>
      </c>
      <c r="AF5" s="31">
        <v>267</v>
      </c>
      <c r="AG5" s="32">
        <v>259</v>
      </c>
      <c r="AH5" s="30">
        <v>276</v>
      </c>
      <c r="AI5" s="31">
        <v>301</v>
      </c>
      <c r="AJ5" s="31">
        <v>313</v>
      </c>
      <c r="AK5" s="31">
        <v>327</v>
      </c>
      <c r="AL5" s="31">
        <v>315</v>
      </c>
      <c r="AM5" s="31">
        <v>294</v>
      </c>
      <c r="AN5" s="31">
        <v>303</v>
      </c>
      <c r="AO5" s="31">
        <v>288</v>
      </c>
      <c r="AP5" s="31">
        <v>328</v>
      </c>
      <c r="AQ5" s="32">
        <v>346</v>
      </c>
      <c r="AR5" s="30">
        <v>321</v>
      </c>
      <c r="AS5" s="31">
        <v>326</v>
      </c>
      <c r="AT5" s="31">
        <v>357</v>
      </c>
      <c r="AU5" s="31">
        <v>331</v>
      </c>
      <c r="AV5" s="31">
        <v>416</v>
      </c>
      <c r="AW5" s="31">
        <v>414</v>
      </c>
      <c r="AX5" s="31">
        <v>393</v>
      </c>
      <c r="AY5" s="31">
        <v>425</v>
      </c>
      <c r="AZ5" s="31">
        <v>440</v>
      </c>
      <c r="BA5" s="32">
        <v>415</v>
      </c>
      <c r="BB5" s="30">
        <v>478</v>
      </c>
      <c r="BC5" s="31">
        <v>394</v>
      </c>
      <c r="BD5" s="5">
        <v>381</v>
      </c>
      <c r="BE5" s="5">
        <v>413</v>
      </c>
      <c r="BF5" s="5">
        <v>367</v>
      </c>
      <c r="BG5" s="88">
        <v>361</v>
      </c>
      <c r="BH5" s="88">
        <v>369</v>
      </c>
      <c r="BI5" s="88">
        <v>395</v>
      </c>
      <c r="BJ5" s="88">
        <v>383</v>
      </c>
      <c r="BK5" s="89">
        <v>377</v>
      </c>
      <c r="BL5" s="126">
        <v>339</v>
      </c>
      <c r="BM5" s="5">
        <v>346</v>
      </c>
      <c r="BN5" s="5">
        <v>351</v>
      </c>
      <c r="BO5" s="5">
        <v>351</v>
      </c>
      <c r="BP5" s="5">
        <v>376</v>
      </c>
      <c r="BQ5" s="123">
        <v>358</v>
      </c>
    </row>
    <row r="6" spans="1:69" x14ac:dyDescent="0.2">
      <c r="A6" s="20" t="s">
        <v>3</v>
      </c>
      <c r="B6" s="21" t="s">
        <v>4</v>
      </c>
      <c r="C6" s="25" t="s">
        <v>2</v>
      </c>
      <c r="D6" s="30">
        <v>283</v>
      </c>
      <c r="E6" s="31">
        <v>247</v>
      </c>
      <c r="F6" s="31">
        <v>255</v>
      </c>
      <c r="G6" s="31">
        <v>244</v>
      </c>
      <c r="H6" s="31">
        <v>229</v>
      </c>
      <c r="I6" s="31">
        <v>207</v>
      </c>
      <c r="J6" s="31">
        <v>205</v>
      </c>
      <c r="K6" s="31">
        <v>202</v>
      </c>
      <c r="L6" s="31">
        <v>209</v>
      </c>
      <c r="M6" s="32">
        <v>226</v>
      </c>
      <c r="N6" s="30">
        <v>217</v>
      </c>
      <c r="O6" s="31">
        <v>233</v>
      </c>
      <c r="P6" s="31">
        <v>189</v>
      </c>
      <c r="Q6" s="31">
        <v>250</v>
      </c>
      <c r="R6" s="31">
        <v>225</v>
      </c>
      <c r="S6" s="31">
        <v>209</v>
      </c>
      <c r="T6" s="31">
        <v>234</v>
      </c>
      <c r="U6" s="31">
        <v>231</v>
      </c>
      <c r="V6" s="31">
        <v>266</v>
      </c>
      <c r="W6" s="32">
        <v>271</v>
      </c>
      <c r="X6" s="30">
        <v>246</v>
      </c>
      <c r="Y6" s="31">
        <v>283</v>
      </c>
      <c r="Z6" s="31">
        <v>245</v>
      </c>
      <c r="AA6" s="31">
        <v>268</v>
      </c>
      <c r="AB6" s="31">
        <v>263</v>
      </c>
      <c r="AC6" s="31">
        <v>262</v>
      </c>
      <c r="AD6" s="31">
        <v>250</v>
      </c>
      <c r="AE6" s="31">
        <v>229</v>
      </c>
      <c r="AF6" s="31">
        <v>236</v>
      </c>
      <c r="AG6" s="32">
        <v>276</v>
      </c>
      <c r="AH6" s="30">
        <v>255</v>
      </c>
      <c r="AI6" s="31">
        <v>267</v>
      </c>
      <c r="AJ6" s="31">
        <v>278</v>
      </c>
      <c r="AK6" s="31">
        <v>246</v>
      </c>
      <c r="AL6" s="31">
        <v>263</v>
      </c>
      <c r="AM6" s="31">
        <v>242</v>
      </c>
      <c r="AN6" s="31">
        <v>251</v>
      </c>
      <c r="AO6" s="31">
        <v>278</v>
      </c>
      <c r="AP6" s="31">
        <v>288</v>
      </c>
      <c r="AQ6" s="32">
        <v>263</v>
      </c>
      <c r="AR6" s="30">
        <v>247</v>
      </c>
      <c r="AS6" s="31">
        <v>225</v>
      </c>
      <c r="AT6" s="31">
        <v>242</v>
      </c>
      <c r="AU6" s="31">
        <v>289</v>
      </c>
      <c r="AV6" s="31">
        <v>252</v>
      </c>
      <c r="AW6" s="31">
        <v>238</v>
      </c>
      <c r="AX6" s="31">
        <v>240</v>
      </c>
      <c r="AY6" s="31">
        <v>242</v>
      </c>
      <c r="AZ6" s="31">
        <v>245</v>
      </c>
      <c r="BA6" s="32">
        <v>217</v>
      </c>
      <c r="BB6" s="30">
        <v>243</v>
      </c>
      <c r="BC6" s="31">
        <v>236</v>
      </c>
      <c r="BD6" s="5">
        <v>249</v>
      </c>
      <c r="BE6" s="5">
        <v>242</v>
      </c>
      <c r="BF6" s="5">
        <v>257</v>
      </c>
      <c r="BG6" s="88">
        <v>220</v>
      </c>
      <c r="BH6" s="88">
        <v>216</v>
      </c>
      <c r="BI6" s="88">
        <v>208</v>
      </c>
      <c r="BJ6" s="88">
        <v>237</v>
      </c>
      <c r="BK6" s="89">
        <v>227</v>
      </c>
      <c r="BL6" s="126">
        <v>207</v>
      </c>
      <c r="BM6" s="5">
        <v>224</v>
      </c>
      <c r="BN6" s="5">
        <v>202</v>
      </c>
      <c r="BO6" s="5">
        <v>214</v>
      </c>
      <c r="BP6" s="5">
        <v>178</v>
      </c>
      <c r="BQ6" s="123">
        <v>201</v>
      </c>
    </row>
    <row r="7" spans="1:69" x14ac:dyDescent="0.2">
      <c r="A7" s="20" t="s">
        <v>5</v>
      </c>
      <c r="B7" s="21" t="s">
        <v>6</v>
      </c>
      <c r="C7" s="25"/>
      <c r="D7" s="30">
        <v>1562</v>
      </c>
      <c r="E7" s="31">
        <v>1519</v>
      </c>
      <c r="F7" s="31">
        <v>1368</v>
      </c>
      <c r="G7" s="31">
        <v>1329</v>
      </c>
      <c r="H7" s="31">
        <v>1280</v>
      </c>
      <c r="I7" s="31">
        <v>1128</v>
      </c>
      <c r="J7" s="31">
        <v>1090</v>
      </c>
      <c r="K7" s="31">
        <v>1042</v>
      </c>
      <c r="L7" s="31">
        <v>991</v>
      </c>
      <c r="M7" s="32">
        <v>1103</v>
      </c>
      <c r="N7" s="30">
        <v>1071</v>
      </c>
      <c r="O7" s="31">
        <v>1103</v>
      </c>
      <c r="P7" s="31">
        <v>991</v>
      </c>
      <c r="Q7" s="31">
        <v>970</v>
      </c>
      <c r="R7" s="31">
        <v>1101</v>
      </c>
      <c r="S7" s="31">
        <v>1181</v>
      </c>
      <c r="T7" s="31">
        <v>1390</v>
      </c>
      <c r="U7" s="31">
        <v>1485</v>
      </c>
      <c r="V7" s="31">
        <v>1812</v>
      </c>
      <c r="W7" s="32">
        <v>2003</v>
      </c>
      <c r="X7" s="30">
        <v>2089</v>
      </c>
      <c r="Y7" s="31">
        <v>2256</v>
      </c>
      <c r="Z7" s="31">
        <v>2126</v>
      </c>
      <c r="AA7" s="31">
        <v>2056</v>
      </c>
      <c r="AB7" s="31">
        <v>1981</v>
      </c>
      <c r="AC7" s="31">
        <v>1880</v>
      </c>
      <c r="AD7" s="31">
        <v>1880</v>
      </c>
      <c r="AE7" s="31">
        <v>1822</v>
      </c>
      <c r="AF7" s="31">
        <v>1756</v>
      </c>
      <c r="AG7" s="32">
        <v>1830</v>
      </c>
      <c r="AH7" s="30">
        <v>1874</v>
      </c>
      <c r="AI7" s="31">
        <v>1942</v>
      </c>
      <c r="AJ7" s="31">
        <v>1973</v>
      </c>
      <c r="AK7" s="31">
        <v>1976</v>
      </c>
      <c r="AL7" s="31">
        <v>1940</v>
      </c>
      <c r="AM7" s="31">
        <v>2026</v>
      </c>
      <c r="AN7" s="31">
        <v>2023</v>
      </c>
      <c r="AO7" s="31">
        <v>2000</v>
      </c>
      <c r="AP7" s="31">
        <v>2079</v>
      </c>
      <c r="AQ7" s="32">
        <v>2135</v>
      </c>
      <c r="AR7" s="30">
        <v>2094</v>
      </c>
      <c r="AS7" s="31">
        <v>2217</v>
      </c>
      <c r="AT7" s="31">
        <v>2147</v>
      </c>
      <c r="AU7" s="31">
        <v>2186</v>
      </c>
      <c r="AV7" s="31">
        <v>2140</v>
      </c>
      <c r="AW7" s="31">
        <v>2193</v>
      </c>
      <c r="AX7" s="31">
        <v>2428</v>
      </c>
      <c r="AY7" s="31">
        <v>2412</v>
      </c>
      <c r="AZ7" s="31">
        <v>2483</v>
      </c>
      <c r="BA7" s="32">
        <v>2467</v>
      </c>
      <c r="BB7" s="30">
        <v>2569</v>
      </c>
      <c r="BC7" s="31">
        <v>2558</v>
      </c>
      <c r="BD7" s="5">
        <v>2539</v>
      </c>
      <c r="BE7" s="5">
        <v>2549</v>
      </c>
      <c r="BF7" s="5">
        <v>2674</v>
      </c>
      <c r="BG7" s="88">
        <v>2696</v>
      </c>
      <c r="BH7" s="88">
        <v>2713</v>
      </c>
      <c r="BI7" s="88">
        <v>2552</v>
      </c>
      <c r="BJ7" s="88">
        <v>2580</v>
      </c>
      <c r="BK7" s="89">
        <v>2540</v>
      </c>
      <c r="BL7" s="126">
        <v>2470</v>
      </c>
      <c r="BM7" s="5">
        <v>2590</v>
      </c>
      <c r="BN7" s="5">
        <v>2441</v>
      </c>
      <c r="BO7" s="5">
        <v>2520</v>
      </c>
      <c r="BP7" s="5">
        <v>2649</v>
      </c>
      <c r="BQ7" s="123">
        <v>2592</v>
      </c>
    </row>
    <row r="8" spans="1:69" x14ac:dyDescent="0.2">
      <c r="A8" s="20" t="s">
        <v>7</v>
      </c>
      <c r="B8" s="21" t="s">
        <v>8</v>
      </c>
      <c r="C8" s="25" t="s">
        <v>2</v>
      </c>
      <c r="D8" s="30">
        <v>799</v>
      </c>
      <c r="E8" s="31">
        <v>774</v>
      </c>
      <c r="F8" s="31">
        <v>683</v>
      </c>
      <c r="G8" s="31">
        <v>750</v>
      </c>
      <c r="H8" s="31">
        <v>678</v>
      </c>
      <c r="I8" s="31">
        <v>600</v>
      </c>
      <c r="J8" s="31">
        <v>622</v>
      </c>
      <c r="K8" s="31">
        <v>601</v>
      </c>
      <c r="L8" s="31">
        <v>598</v>
      </c>
      <c r="M8" s="32">
        <v>584</v>
      </c>
      <c r="N8" s="30">
        <v>622</v>
      </c>
      <c r="O8" s="31">
        <v>523</v>
      </c>
      <c r="P8" s="31">
        <v>491</v>
      </c>
      <c r="Q8" s="31">
        <v>466</v>
      </c>
      <c r="R8" s="31">
        <v>492</v>
      </c>
      <c r="S8" s="31">
        <v>562</v>
      </c>
      <c r="T8" s="31">
        <v>549</v>
      </c>
      <c r="U8" s="31">
        <v>656</v>
      </c>
      <c r="V8" s="31">
        <v>687</v>
      </c>
      <c r="W8" s="32">
        <v>739</v>
      </c>
      <c r="X8" s="30">
        <v>830</v>
      </c>
      <c r="Y8" s="31">
        <v>755</v>
      </c>
      <c r="Z8" s="31">
        <v>770</v>
      </c>
      <c r="AA8" s="31">
        <v>846</v>
      </c>
      <c r="AB8" s="31">
        <v>847</v>
      </c>
      <c r="AC8" s="31">
        <v>887</v>
      </c>
      <c r="AD8" s="31">
        <v>821</v>
      </c>
      <c r="AE8" s="31">
        <v>841</v>
      </c>
      <c r="AF8" s="31">
        <v>839</v>
      </c>
      <c r="AG8" s="32">
        <v>909</v>
      </c>
      <c r="AH8" s="30">
        <v>983</v>
      </c>
      <c r="AI8" s="31">
        <v>934</v>
      </c>
      <c r="AJ8" s="31">
        <v>968</v>
      </c>
      <c r="AK8" s="31">
        <v>1001</v>
      </c>
      <c r="AL8" s="31">
        <v>982</v>
      </c>
      <c r="AM8" s="31">
        <v>944</v>
      </c>
      <c r="AN8" s="31">
        <v>997</v>
      </c>
      <c r="AO8" s="31">
        <v>969</v>
      </c>
      <c r="AP8" s="31">
        <v>1035</v>
      </c>
      <c r="AQ8" s="32">
        <v>984</v>
      </c>
      <c r="AR8" s="30">
        <v>960</v>
      </c>
      <c r="AS8" s="31">
        <v>966</v>
      </c>
      <c r="AT8" s="31">
        <v>881</v>
      </c>
      <c r="AU8" s="31">
        <v>906</v>
      </c>
      <c r="AV8" s="31">
        <v>907</v>
      </c>
      <c r="AW8" s="31">
        <v>944</v>
      </c>
      <c r="AX8" s="31">
        <v>971</v>
      </c>
      <c r="AY8" s="31">
        <v>1049</v>
      </c>
      <c r="AZ8" s="31">
        <v>1064</v>
      </c>
      <c r="BA8" s="32">
        <v>1033</v>
      </c>
      <c r="BB8" s="30">
        <v>983</v>
      </c>
      <c r="BC8" s="31">
        <v>931</v>
      </c>
      <c r="BD8" s="5">
        <v>909</v>
      </c>
      <c r="BE8" s="5">
        <v>899</v>
      </c>
      <c r="BF8" s="5">
        <v>957</v>
      </c>
      <c r="BG8" s="88">
        <v>941</v>
      </c>
      <c r="BH8" s="88">
        <v>920</v>
      </c>
      <c r="BI8" s="88">
        <v>862</v>
      </c>
      <c r="BJ8" s="88">
        <v>845</v>
      </c>
      <c r="BK8" s="89">
        <v>875</v>
      </c>
      <c r="BL8" s="126">
        <v>791</v>
      </c>
      <c r="BM8" s="5">
        <v>799</v>
      </c>
      <c r="BN8" s="5">
        <v>785</v>
      </c>
      <c r="BO8" s="5">
        <v>777</v>
      </c>
      <c r="BP8" s="5">
        <v>840</v>
      </c>
      <c r="BQ8" s="123">
        <v>857</v>
      </c>
    </row>
    <row r="9" spans="1:69" x14ac:dyDescent="0.2">
      <c r="A9" s="20" t="s">
        <v>9</v>
      </c>
      <c r="B9" s="21" t="s">
        <v>10</v>
      </c>
      <c r="C9" s="25" t="s">
        <v>2</v>
      </c>
      <c r="D9" s="30">
        <v>712</v>
      </c>
      <c r="E9" s="31">
        <v>739</v>
      </c>
      <c r="F9" s="31">
        <v>638</v>
      </c>
      <c r="G9" s="31">
        <v>553</v>
      </c>
      <c r="H9" s="31">
        <v>548</v>
      </c>
      <c r="I9" s="31">
        <v>539</v>
      </c>
      <c r="J9" s="31">
        <v>486</v>
      </c>
      <c r="K9" s="31">
        <v>535</v>
      </c>
      <c r="L9" s="31">
        <v>514</v>
      </c>
      <c r="M9" s="32">
        <v>595</v>
      </c>
      <c r="N9" s="30">
        <v>572</v>
      </c>
      <c r="O9" s="31">
        <v>574</v>
      </c>
      <c r="P9" s="31">
        <v>563</v>
      </c>
      <c r="Q9" s="31">
        <v>610</v>
      </c>
      <c r="R9" s="31">
        <v>646</v>
      </c>
      <c r="S9" s="31">
        <v>619</v>
      </c>
      <c r="T9" s="31">
        <v>666</v>
      </c>
      <c r="U9" s="31">
        <v>784</v>
      </c>
      <c r="V9" s="31">
        <v>777</v>
      </c>
      <c r="W9" s="32">
        <v>905</v>
      </c>
      <c r="X9" s="30">
        <v>876</v>
      </c>
      <c r="Y9" s="31">
        <v>768</v>
      </c>
      <c r="Z9" s="31">
        <v>784</v>
      </c>
      <c r="AA9" s="31">
        <v>793</v>
      </c>
      <c r="AB9" s="31">
        <v>822</v>
      </c>
      <c r="AC9" s="31">
        <v>748</v>
      </c>
      <c r="AD9" s="31">
        <v>719</v>
      </c>
      <c r="AE9" s="31">
        <v>768</v>
      </c>
      <c r="AF9" s="31">
        <v>697</v>
      </c>
      <c r="AG9" s="32">
        <v>718</v>
      </c>
      <c r="AH9" s="30">
        <v>779</v>
      </c>
      <c r="AI9" s="31">
        <v>714</v>
      </c>
      <c r="AJ9" s="31">
        <v>646</v>
      </c>
      <c r="AK9" s="31">
        <v>689</v>
      </c>
      <c r="AL9" s="31">
        <v>608</v>
      </c>
      <c r="AM9" s="31">
        <v>652</v>
      </c>
      <c r="AN9" s="31">
        <v>644</v>
      </c>
      <c r="AO9" s="31">
        <v>652</v>
      </c>
      <c r="AP9" s="31">
        <v>676</v>
      </c>
      <c r="AQ9" s="32">
        <v>612</v>
      </c>
      <c r="AR9" s="30">
        <v>627</v>
      </c>
      <c r="AS9" s="31">
        <v>606</v>
      </c>
      <c r="AT9" s="31">
        <v>581</v>
      </c>
      <c r="AU9" s="31">
        <v>619</v>
      </c>
      <c r="AV9" s="31">
        <v>584</v>
      </c>
      <c r="AW9" s="31">
        <v>627</v>
      </c>
      <c r="AX9" s="31">
        <v>671</v>
      </c>
      <c r="AY9" s="31">
        <v>646</v>
      </c>
      <c r="AZ9" s="31">
        <v>630</v>
      </c>
      <c r="BA9" s="32">
        <v>659</v>
      </c>
      <c r="BB9" s="30">
        <v>677</v>
      </c>
      <c r="BC9" s="31">
        <v>673</v>
      </c>
      <c r="BD9" s="5">
        <v>643</v>
      </c>
      <c r="BE9" s="5">
        <v>694</v>
      </c>
      <c r="BF9" s="5">
        <v>667</v>
      </c>
      <c r="BG9" s="88">
        <v>686</v>
      </c>
      <c r="BH9" s="88">
        <v>650</v>
      </c>
      <c r="BI9" s="88">
        <v>641</v>
      </c>
      <c r="BJ9" s="88">
        <v>610</v>
      </c>
      <c r="BK9" s="89">
        <v>567</v>
      </c>
      <c r="BL9" s="126">
        <v>625</v>
      </c>
      <c r="BM9" s="5">
        <v>582</v>
      </c>
      <c r="BN9" s="5">
        <v>500</v>
      </c>
      <c r="BO9" s="5">
        <v>509</v>
      </c>
      <c r="BP9" s="5">
        <v>542</v>
      </c>
      <c r="BQ9" s="123">
        <v>540</v>
      </c>
    </row>
    <row r="10" spans="1:69" x14ac:dyDescent="0.2">
      <c r="A10" s="20" t="s">
        <v>11</v>
      </c>
      <c r="B10" s="21" t="s">
        <v>12</v>
      </c>
      <c r="C10" s="25" t="s">
        <v>2</v>
      </c>
      <c r="D10" s="30">
        <v>2073</v>
      </c>
      <c r="E10" s="31">
        <v>2066</v>
      </c>
      <c r="F10" s="31">
        <v>2026</v>
      </c>
      <c r="G10" s="31">
        <v>1957</v>
      </c>
      <c r="H10" s="31">
        <v>1885</v>
      </c>
      <c r="I10" s="31">
        <v>1809</v>
      </c>
      <c r="J10" s="31">
        <v>1954</v>
      </c>
      <c r="K10" s="31">
        <v>1980</v>
      </c>
      <c r="L10" s="31">
        <v>2145</v>
      </c>
      <c r="M10" s="32">
        <v>2248</v>
      </c>
      <c r="N10" s="30">
        <v>2442</v>
      </c>
      <c r="O10" s="31">
        <v>2258</v>
      </c>
      <c r="P10" s="31">
        <v>2203</v>
      </c>
      <c r="Q10" s="31">
        <v>2212</v>
      </c>
      <c r="R10" s="31">
        <v>2381</v>
      </c>
      <c r="S10" s="31">
        <v>2487</v>
      </c>
      <c r="T10" s="31">
        <v>2544</v>
      </c>
      <c r="U10" s="31">
        <v>2747</v>
      </c>
      <c r="V10" s="31">
        <v>2977</v>
      </c>
      <c r="W10" s="32">
        <v>3239</v>
      </c>
      <c r="X10" s="30">
        <v>3354</v>
      </c>
      <c r="Y10" s="31">
        <v>3343</v>
      </c>
      <c r="Z10" s="31">
        <v>3267</v>
      </c>
      <c r="AA10" s="31">
        <v>3028</v>
      </c>
      <c r="AB10" s="31">
        <v>3181</v>
      </c>
      <c r="AC10" s="31">
        <v>3332</v>
      </c>
      <c r="AD10" s="31">
        <v>3162</v>
      </c>
      <c r="AE10" s="31">
        <v>3369</v>
      </c>
      <c r="AF10" s="31">
        <v>3490</v>
      </c>
      <c r="AG10" s="32">
        <v>3813</v>
      </c>
      <c r="AH10" s="30">
        <v>4085</v>
      </c>
      <c r="AI10" s="31">
        <v>4060</v>
      </c>
      <c r="AJ10" s="31">
        <v>4023</v>
      </c>
      <c r="AK10" s="31">
        <v>4190</v>
      </c>
      <c r="AL10" s="31">
        <v>4396</v>
      </c>
      <c r="AM10" s="31">
        <v>4528</v>
      </c>
      <c r="AN10" s="31">
        <v>4861</v>
      </c>
      <c r="AO10" s="31">
        <v>5010</v>
      </c>
      <c r="AP10" s="31">
        <v>5144</v>
      </c>
      <c r="AQ10" s="32">
        <v>5194</v>
      </c>
      <c r="AR10" s="30">
        <v>5432</v>
      </c>
      <c r="AS10" s="31">
        <v>5234</v>
      </c>
      <c r="AT10" s="31">
        <v>5263</v>
      </c>
      <c r="AU10" s="31">
        <v>5441</v>
      </c>
      <c r="AV10" s="31">
        <v>5545</v>
      </c>
      <c r="AW10" s="31">
        <v>5730</v>
      </c>
      <c r="AX10" s="31">
        <v>5823</v>
      </c>
      <c r="AY10" s="31">
        <v>5917</v>
      </c>
      <c r="AZ10" s="31">
        <v>5723</v>
      </c>
      <c r="BA10" s="32">
        <v>5598</v>
      </c>
      <c r="BB10" s="30">
        <v>5385</v>
      </c>
      <c r="BC10" s="31">
        <v>5420</v>
      </c>
      <c r="BD10" s="5">
        <v>5445</v>
      </c>
      <c r="BE10" s="5">
        <v>5338</v>
      </c>
      <c r="BF10" s="5">
        <v>5564</v>
      </c>
      <c r="BG10" s="88">
        <v>5620</v>
      </c>
      <c r="BH10" s="88">
        <v>5631</v>
      </c>
      <c r="BI10" s="88">
        <v>5495</v>
      </c>
      <c r="BJ10" s="88">
        <v>5479</v>
      </c>
      <c r="BK10" s="89">
        <v>5600</v>
      </c>
      <c r="BL10" s="126">
        <v>5299</v>
      </c>
      <c r="BM10" s="5">
        <v>5741</v>
      </c>
      <c r="BN10" s="5">
        <v>5393</v>
      </c>
      <c r="BO10" s="5">
        <v>5612</v>
      </c>
      <c r="BP10" s="5">
        <v>5682</v>
      </c>
      <c r="BQ10" s="123">
        <v>5700</v>
      </c>
    </row>
    <row r="11" spans="1:69" x14ac:dyDescent="0.2">
      <c r="A11" s="20" t="s">
        <v>13</v>
      </c>
      <c r="B11" s="21" t="s">
        <v>14</v>
      </c>
      <c r="C11" s="25" t="s">
        <v>2</v>
      </c>
      <c r="D11" s="30">
        <v>75</v>
      </c>
      <c r="E11" s="31">
        <v>74</v>
      </c>
      <c r="F11" s="31">
        <v>90</v>
      </c>
      <c r="G11" s="31">
        <v>80</v>
      </c>
      <c r="H11" s="31">
        <v>70</v>
      </c>
      <c r="I11" s="31">
        <v>62</v>
      </c>
      <c r="J11" s="31">
        <v>71</v>
      </c>
      <c r="K11" s="31">
        <v>82</v>
      </c>
      <c r="L11" s="31">
        <v>55</v>
      </c>
      <c r="M11" s="32">
        <v>50</v>
      </c>
      <c r="N11" s="30">
        <v>38</v>
      </c>
      <c r="O11" s="31">
        <v>49</v>
      </c>
      <c r="P11" s="31">
        <v>58</v>
      </c>
      <c r="Q11" s="31">
        <v>42</v>
      </c>
      <c r="R11" s="31">
        <v>47</v>
      </c>
      <c r="S11" s="31">
        <v>61</v>
      </c>
      <c r="T11" s="31">
        <v>68</v>
      </c>
      <c r="U11" s="31">
        <v>62</v>
      </c>
      <c r="V11" s="31">
        <v>63</v>
      </c>
      <c r="W11" s="32">
        <v>66</v>
      </c>
      <c r="X11" s="30">
        <v>59</v>
      </c>
      <c r="Y11" s="31">
        <v>60</v>
      </c>
      <c r="Z11" s="31">
        <v>60</v>
      </c>
      <c r="AA11" s="31">
        <v>63</v>
      </c>
      <c r="AB11" s="31">
        <v>45</v>
      </c>
      <c r="AC11" s="31">
        <v>58</v>
      </c>
      <c r="AD11" s="31">
        <v>58</v>
      </c>
      <c r="AE11" s="31">
        <v>58</v>
      </c>
      <c r="AF11" s="31">
        <v>43</v>
      </c>
      <c r="AG11" s="32">
        <v>49</v>
      </c>
      <c r="AH11" s="30">
        <v>58</v>
      </c>
      <c r="AI11" s="31">
        <v>39</v>
      </c>
      <c r="AJ11" s="31">
        <v>61</v>
      </c>
      <c r="AK11" s="31">
        <v>38</v>
      </c>
      <c r="AL11" s="31">
        <v>47</v>
      </c>
      <c r="AM11" s="31">
        <v>48</v>
      </c>
      <c r="AN11" s="31">
        <v>50</v>
      </c>
      <c r="AO11" s="31">
        <v>39</v>
      </c>
      <c r="AP11" s="31">
        <v>50</v>
      </c>
      <c r="AQ11" s="32">
        <v>21</v>
      </c>
      <c r="AR11" s="30">
        <v>39</v>
      </c>
      <c r="AS11" s="31">
        <v>33</v>
      </c>
      <c r="AT11" s="31">
        <v>41</v>
      </c>
      <c r="AU11" s="31">
        <v>36</v>
      </c>
      <c r="AV11" s="31">
        <v>38</v>
      </c>
      <c r="AW11" s="31">
        <v>25</v>
      </c>
      <c r="AX11" s="31">
        <v>46</v>
      </c>
      <c r="AY11" s="31">
        <v>33</v>
      </c>
      <c r="AZ11" s="31">
        <v>40</v>
      </c>
      <c r="BA11" s="32">
        <v>36</v>
      </c>
      <c r="BB11" s="30">
        <v>38</v>
      </c>
      <c r="BC11" s="31">
        <v>30</v>
      </c>
      <c r="BD11" s="5">
        <v>33</v>
      </c>
      <c r="BE11" s="5">
        <v>37</v>
      </c>
      <c r="BF11" s="5">
        <v>42</v>
      </c>
      <c r="BG11" s="88">
        <v>31</v>
      </c>
      <c r="BH11" s="88">
        <v>38</v>
      </c>
      <c r="BI11" s="88">
        <v>35</v>
      </c>
      <c r="BJ11" s="88">
        <v>31</v>
      </c>
      <c r="BK11" s="89">
        <v>38</v>
      </c>
      <c r="BL11" s="126">
        <v>34</v>
      </c>
      <c r="BM11" s="5">
        <v>28</v>
      </c>
      <c r="BN11" s="5">
        <v>36</v>
      </c>
      <c r="BO11" s="5">
        <v>32</v>
      </c>
      <c r="BP11" s="5">
        <v>39</v>
      </c>
      <c r="BQ11" s="123">
        <v>32</v>
      </c>
    </row>
    <row r="12" spans="1:69" x14ac:dyDescent="0.2">
      <c r="A12" s="20" t="s">
        <v>15</v>
      </c>
      <c r="B12" s="21" t="s">
        <v>16</v>
      </c>
      <c r="C12" s="25"/>
      <c r="D12" s="30">
        <v>1342</v>
      </c>
      <c r="E12" s="31">
        <v>1279</v>
      </c>
      <c r="F12" s="31">
        <v>1273</v>
      </c>
      <c r="G12" s="31">
        <v>1217</v>
      </c>
      <c r="H12" s="31">
        <v>1187</v>
      </c>
      <c r="I12" s="31">
        <v>1237</v>
      </c>
      <c r="J12" s="31">
        <v>1160</v>
      </c>
      <c r="K12" s="31">
        <v>1194</v>
      </c>
      <c r="L12" s="31">
        <v>1223</v>
      </c>
      <c r="M12" s="32">
        <v>1292</v>
      </c>
      <c r="N12" s="30">
        <v>1444</v>
      </c>
      <c r="O12" s="31">
        <v>1215</v>
      </c>
      <c r="P12" s="31">
        <v>1060</v>
      </c>
      <c r="Q12" s="31">
        <v>1050</v>
      </c>
      <c r="R12" s="31">
        <v>1164</v>
      </c>
      <c r="S12" s="31">
        <v>1184</v>
      </c>
      <c r="T12" s="31">
        <v>1200</v>
      </c>
      <c r="U12" s="31">
        <v>1238</v>
      </c>
      <c r="V12" s="31">
        <v>1248</v>
      </c>
      <c r="W12" s="32">
        <v>1367</v>
      </c>
      <c r="X12" s="30">
        <v>1317</v>
      </c>
      <c r="Y12" s="31">
        <v>1280</v>
      </c>
      <c r="Z12" s="31">
        <v>1257</v>
      </c>
      <c r="AA12" s="31">
        <v>1201</v>
      </c>
      <c r="AB12" s="31">
        <v>1146</v>
      </c>
      <c r="AC12" s="31">
        <v>1090</v>
      </c>
      <c r="AD12" s="31">
        <v>1200</v>
      </c>
      <c r="AE12" s="31">
        <v>1208</v>
      </c>
      <c r="AF12" s="31">
        <v>1232</v>
      </c>
      <c r="AG12" s="32">
        <v>1325</v>
      </c>
      <c r="AH12" s="30">
        <v>1360</v>
      </c>
      <c r="AI12" s="31">
        <v>1319</v>
      </c>
      <c r="AJ12" s="31">
        <v>1213</v>
      </c>
      <c r="AK12" s="31">
        <v>1237</v>
      </c>
      <c r="AL12" s="31">
        <v>1207</v>
      </c>
      <c r="AM12" s="31">
        <v>1253</v>
      </c>
      <c r="AN12" s="31">
        <v>1234</v>
      </c>
      <c r="AO12" s="31">
        <v>1154</v>
      </c>
      <c r="AP12" s="31">
        <v>1254</v>
      </c>
      <c r="AQ12" s="32">
        <v>1270</v>
      </c>
      <c r="AR12" s="30">
        <v>1270</v>
      </c>
      <c r="AS12" s="31">
        <v>1246</v>
      </c>
      <c r="AT12" s="31">
        <v>1191</v>
      </c>
      <c r="AU12" s="31">
        <v>1140</v>
      </c>
      <c r="AV12" s="31">
        <v>1273</v>
      </c>
      <c r="AW12" s="31">
        <v>1271</v>
      </c>
      <c r="AX12" s="31">
        <v>1339</v>
      </c>
      <c r="AY12" s="31">
        <v>1369</v>
      </c>
      <c r="AZ12" s="31">
        <v>1335</v>
      </c>
      <c r="BA12" s="32">
        <v>1241</v>
      </c>
      <c r="BB12" s="30">
        <v>1228</v>
      </c>
      <c r="BC12" s="31">
        <v>1217</v>
      </c>
      <c r="BD12" s="5">
        <v>1147</v>
      </c>
      <c r="BE12" s="5">
        <v>1153</v>
      </c>
      <c r="BF12" s="5">
        <v>1180</v>
      </c>
      <c r="BG12" s="88">
        <v>1263</v>
      </c>
      <c r="BH12" s="88">
        <v>1296</v>
      </c>
      <c r="BI12" s="88">
        <v>1263</v>
      </c>
      <c r="BJ12" s="88">
        <v>1244</v>
      </c>
      <c r="BK12" s="89">
        <v>1260</v>
      </c>
      <c r="BL12" s="126">
        <v>1212</v>
      </c>
      <c r="BM12" s="5">
        <v>1216</v>
      </c>
      <c r="BN12" s="5">
        <v>1245</v>
      </c>
      <c r="BO12" s="5">
        <v>1216</v>
      </c>
      <c r="BP12" s="5">
        <v>1247</v>
      </c>
      <c r="BQ12" s="123">
        <v>1249</v>
      </c>
    </row>
    <row r="13" spans="1:69" x14ac:dyDescent="0.2">
      <c r="A13" s="20" t="s">
        <v>17</v>
      </c>
      <c r="B13" s="21" t="s">
        <v>18</v>
      </c>
      <c r="C13" s="25" t="s">
        <v>2</v>
      </c>
      <c r="D13" s="30">
        <v>283</v>
      </c>
      <c r="E13" s="31">
        <v>303</v>
      </c>
      <c r="F13" s="31">
        <v>225</v>
      </c>
      <c r="G13" s="31">
        <v>221</v>
      </c>
      <c r="H13" s="31">
        <v>208</v>
      </c>
      <c r="I13" s="31">
        <v>215</v>
      </c>
      <c r="J13" s="31">
        <v>207</v>
      </c>
      <c r="K13" s="31">
        <v>214</v>
      </c>
      <c r="L13" s="31">
        <v>224</v>
      </c>
      <c r="M13" s="32">
        <v>228</v>
      </c>
      <c r="N13" s="30">
        <v>254</v>
      </c>
      <c r="O13" s="31">
        <v>226</v>
      </c>
      <c r="P13" s="31">
        <v>194</v>
      </c>
      <c r="Q13" s="31">
        <v>232</v>
      </c>
      <c r="R13" s="31">
        <v>220</v>
      </c>
      <c r="S13" s="31">
        <v>280</v>
      </c>
      <c r="T13" s="31">
        <v>308</v>
      </c>
      <c r="U13" s="31">
        <v>336</v>
      </c>
      <c r="V13" s="31">
        <v>364</v>
      </c>
      <c r="W13" s="32">
        <v>382</v>
      </c>
      <c r="X13" s="30">
        <v>375</v>
      </c>
      <c r="Y13" s="31">
        <v>387</v>
      </c>
      <c r="Z13" s="31">
        <v>367</v>
      </c>
      <c r="AA13" s="31">
        <v>358</v>
      </c>
      <c r="AB13" s="31">
        <v>355</v>
      </c>
      <c r="AC13" s="31">
        <v>374</v>
      </c>
      <c r="AD13" s="31">
        <v>359</v>
      </c>
      <c r="AE13" s="31">
        <v>335</v>
      </c>
      <c r="AF13" s="31">
        <v>371</v>
      </c>
      <c r="AG13" s="32">
        <v>404</v>
      </c>
      <c r="AH13" s="30">
        <v>452</v>
      </c>
      <c r="AI13" s="31">
        <v>396</v>
      </c>
      <c r="AJ13" s="31">
        <v>414</v>
      </c>
      <c r="AK13" s="31">
        <v>457</v>
      </c>
      <c r="AL13" s="31">
        <v>461</v>
      </c>
      <c r="AM13" s="31">
        <v>432</v>
      </c>
      <c r="AN13" s="31">
        <v>453</v>
      </c>
      <c r="AO13" s="31">
        <v>453</v>
      </c>
      <c r="AP13" s="31">
        <v>430</v>
      </c>
      <c r="AQ13" s="32">
        <v>472</v>
      </c>
      <c r="AR13" s="30">
        <v>440</v>
      </c>
      <c r="AS13" s="31">
        <v>439</v>
      </c>
      <c r="AT13" s="31">
        <v>444</v>
      </c>
      <c r="AU13" s="31">
        <v>441</v>
      </c>
      <c r="AV13" s="31">
        <v>460</v>
      </c>
      <c r="AW13" s="31">
        <v>522</v>
      </c>
      <c r="AX13" s="31">
        <v>527</v>
      </c>
      <c r="AY13" s="31">
        <v>580</v>
      </c>
      <c r="AZ13" s="31">
        <v>590</v>
      </c>
      <c r="BA13" s="32">
        <v>515</v>
      </c>
      <c r="BB13" s="30">
        <v>532</v>
      </c>
      <c r="BC13" s="31">
        <v>534</v>
      </c>
      <c r="BD13" s="5">
        <v>509</v>
      </c>
      <c r="BE13" s="5">
        <v>511</v>
      </c>
      <c r="BF13" s="5">
        <v>530</v>
      </c>
      <c r="BG13" s="88">
        <v>536</v>
      </c>
      <c r="BH13" s="88">
        <v>509</v>
      </c>
      <c r="BI13" s="88">
        <v>547</v>
      </c>
      <c r="BJ13" s="88">
        <v>482</v>
      </c>
      <c r="BK13" s="89">
        <v>500</v>
      </c>
      <c r="BL13" s="126">
        <v>474</v>
      </c>
      <c r="BM13" s="5">
        <v>517</v>
      </c>
      <c r="BN13" s="5">
        <v>493</v>
      </c>
      <c r="BO13" s="5">
        <v>478</v>
      </c>
      <c r="BP13" s="5">
        <v>518</v>
      </c>
      <c r="BQ13" s="123">
        <v>516</v>
      </c>
    </row>
    <row r="14" spans="1:69" x14ac:dyDescent="0.2">
      <c r="A14" s="20" t="s">
        <v>19</v>
      </c>
      <c r="B14" s="21" t="s">
        <v>20</v>
      </c>
      <c r="C14" s="25" t="s">
        <v>2</v>
      </c>
      <c r="D14" s="30">
        <v>84</v>
      </c>
      <c r="E14" s="31">
        <v>92</v>
      </c>
      <c r="F14" s="31">
        <v>86</v>
      </c>
      <c r="G14" s="31">
        <v>68</v>
      </c>
      <c r="H14" s="31">
        <v>80</v>
      </c>
      <c r="I14" s="31">
        <v>65</v>
      </c>
      <c r="J14" s="31">
        <v>57</v>
      </c>
      <c r="K14" s="31">
        <v>55</v>
      </c>
      <c r="L14" s="31">
        <v>73</v>
      </c>
      <c r="M14" s="32">
        <v>51</v>
      </c>
      <c r="N14" s="30">
        <v>60</v>
      </c>
      <c r="O14" s="31">
        <v>81</v>
      </c>
      <c r="P14" s="31">
        <v>60</v>
      </c>
      <c r="Q14" s="31">
        <v>77</v>
      </c>
      <c r="R14" s="31">
        <v>76</v>
      </c>
      <c r="S14" s="31">
        <v>75</v>
      </c>
      <c r="T14" s="31">
        <v>66</v>
      </c>
      <c r="U14" s="31">
        <v>84</v>
      </c>
      <c r="V14" s="31">
        <v>82</v>
      </c>
      <c r="W14" s="32">
        <v>123</v>
      </c>
      <c r="X14" s="30">
        <v>112</v>
      </c>
      <c r="Y14" s="31">
        <v>126</v>
      </c>
      <c r="Z14" s="31">
        <v>105</v>
      </c>
      <c r="AA14" s="31">
        <v>108</v>
      </c>
      <c r="AB14" s="31">
        <v>101</v>
      </c>
      <c r="AC14" s="31">
        <v>80</v>
      </c>
      <c r="AD14" s="31">
        <v>81</v>
      </c>
      <c r="AE14" s="31">
        <v>78</v>
      </c>
      <c r="AF14" s="31">
        <v>78</v>
      </c>
      <c r="AG14" s="32">
        <v>82</v>
      </c>
      <c r="AH14" s="30">
        <v>81</v>
      </c>
      <c r="AI14" s="31">
        <v>97</v>
      </c>
      <c r="AJ14" s="31">
        <v>84</v>
      </c>
      <c r="AK14" s="31">
        <v>80</v>
      </c>
      <c r="AL14" s="31">
        <v>85</v>
      </c>
      <c r="AM14" s="31">
        <v>84</v>
      </c>
      <c r="AN14" s="31">
        <v>78</v>
      </c>
      <c r="AO14" s="31">
        <v>79</v>
      </c>
      <c r="AP14" s="31">
        <v>76</v>
      </c>
      <c r="AQ14" s="32">
        <v>73</v>
      </c>
      <c r="AR14" s="30">
        <v>77</v>
      </c>
      <c r="AS14" s="31">
        <v>69</v>
      </c>
      <c r="AT14" s="31">
        <v>78</v>
      </c>
      <c r="AU14" s="31">
        <v>65</v>
      </c>
      <c r="AV14" s="31">
        <v>82</v>
      </c>
      <c r="AW14" s="31">
        <v>76</v>
      </c>
      <c r="AX14" s="31">
        <v>63</v>
      </c>
      <c r="AY14" s="31">
        <v>66</v>
      </c>
      <c r="AZ14" s="31">
        <v>66</v>
      </c>
      <c r="BA14" s="32">
        <v>68</v>
      </c>
      <c r="BB14" s="30">
        <v>59</v>
      </c>
      <c r="BC14" s="31">
        <v>75</v>
      </c>
      <c r="BD14" s="5">
        <v>72</v>
      </c>
      <c r="BE14" s="5">
        <v>66</v>
      </c>
      <c r="BF14" s="5">
        <v>76</v>
      </c>
      <c r="BG14" s="88">
        <v>66</v>
      </c>
      <c r="BH14" s="88">
        <v>78</v>
      </c>
      <c r="BI14" s="88">
        <v>67</v>
      </c>
      <c r="BJ14" s="88">
        <v>64</v>
      </c>
      <c r="BK14" s="89">
        <v>72</v>
      </c>
      <c r="BL14" s="126">
        <v>61</v>
      </c>
      <c r="BM14" s="5">
        <v>74</v>
      </c>
      <c r="BN14" s="5">
        <v>58</v>
      </c>
      <c r="BO14" s="5">
        <v>73</v>
      </c>
      <c r="BP14" s="5">
        <v>61</v>
      </c>
      <c r="BQ14" s="123">
        <v>71</v>
      </c>
    </row>
    <row r="15" spans="1:69" x14ac:dyDescent="0.2">
      <c r="A15" s="20" t="s">
        <v>21</v>
      </c>
      <c r="B15" s="21" t="s">
        <v>22</v>
      </c>
      <c r="C15" s="25" t="s">
        <v>2</v>
      </c>
      <c r="D15" s="30">
        <v>554</v>
      </c>
      <c r="E15" s="31">
        <v>527</v>
      </c>
      <c r="F15" s="31">
        <v>515</v>
      </c>
      <c r="G15" s="31">
        <v>530</v>
      </c>
      <c r="H15" s="31">
        <v>471</v>
      </c>
      <c r="I15" s="31">
        <v>473</v>
      </c>
      <c r="J15" s="31">
        <v>432</v>
      </c>
      <c r="K15" s="31">
        <v>445</v>
      </c>
      <c r="L15" s="31">
        <v>413</v>
      </c>
      <c r="M15" s="32">
        <v>487</v>
      </c>
      <c r="N15" s="30">
        <v>471</v>
      </c>
      <c r="O15" s="31">
        <v>493</v>
      </c>
      <c r="P15" s="31">
        <v>497</v>
      </c>
      <c r="Q15" s="31">
        <v>477</v>
      </c>
      <c r="R15" s="31">
        <v>550</v>
      </c>
      <c r="S15" s="31">
        <v>564</v>
      </c>
      <c r="T15" s="31">
        <v>715</v>
      </c>
      <c r="U15" s="31">
        <v>724</v>
      </c>
      <c r="V15" s="31">
        <v>847</v>
      </c>
      <c r="W15" s="32">
        <v>898</v>
      </c>
      <c r="X15" s="30">
        <v>919</v>
      </c>
      <c r="Y15" s="31">
        <v>904</v>
      </c>
      <c r="Z15" s="31">
        <v>899</v>
      </c>
      <c r="AA15" s="31">
        <v>869</v>
      </c>
      <c r="AB15" s="31">
        <v>775</v>
      </c>
      <c r="AC15" s="31">
        <v>757</v>
      </c>
      <c r="AD15" s="31">
        <v>730</v>
      </c>
      <c r="AE15" s="31">
        <v>747</v>
      </c>
      <c r="AF15" s="31">
        <v>784</v>
      </c>
      <c r="AG15" s="32">
        <v>778</v>
      </c>
      <c r="AH15" s="30">
        <v>933</v>
      </c>
      <c r="AI15" s="31">
        <v>984</v>
      </c>
      <c r="AJ15" s="31">
        <v>948</v>
      </c>
      <c r="AK15" s="31">
        <v>984</v>
      </c>
      <c r="AL15" s="31">
        <v>1004</v>
      </c>
      <c r="AM15" s="31">
        <v>1009</v>
      </c>
      <c r="AN15" s="31">
        <v>1029</v>
      </c>
      <c r="AO15" s="31">
        <v>1000</v>
      </c>
      <c r="AP15" s="31">
        <v>1052</v>
      </c>
      <c r="AQ15" s="32">
        <v>1090</v>
      </c>
      <c r="AR15" s="30">
        <v>1093</v>
      </c>
      <c r="AS15" s="31">
        <v>1183</v>
      </c>
      <c r="AT15" s="31">
        <v>1224</v>
      </c>
      <c r="AU15" s="31">
        <v>1307</v>
      </c>
      <c r="AV15" s="31">
        <v>1382</v>
      </c>
      <c r="AW15" s="31">
        <v>1494</v>
      </c>
      <c r="AX15" s="31">
        <v>1534</v>
      </c>
      <c r="AY15" s="31">
        <v>1627</v>
      </c>
      <c r="AZ15" s="31">
        <v>1677</v>
      </c>
      <c r="BA15" s="32">
        <v>1666</v>
      </c>
      <c r="BB15" s="30">
        <v>1681</v>
      </c>
      <c r="BC15" s="31">
        <v>1742</v>
      </c>
      <c r="BD15" s="5">
        <v>1634</v>
      </c>
      <c r="BE15" s="5">
        <v>1616</v>
      </c>
      <c r="BF15" s="5">
        <v>1651</v>
      </c>
      <c r="BG15" s="88">
        <v>1659</v>
      </c>
      <c r="BH15" s="88">
        <v>1628</v>
      </c>
      <c r="BI15" s="88">
        <v>1563</v>
      </c>
      <c r="BJ15" s="88">
        <v>1507</v>
      </c>
      <c r="BK15" s="89">
        <v>1524</v>
      </c>
      <c r="BL15" s="126">
        <v>1462</v>
      </c>
      <c r="BM15" s="5">
        <v>1465</v>
      </c>
      <c r="BN15" s="5">
        <v>1438</v>
      </c>
      <c r="BO15" s="5">
        <v>1454</v>
      </c>
      <c r="BP15" s="5">
        <v>1522</v>
      </c>
      <c r="BQ15" s="123">
        <v>1513</v>
      </c>
    </row>
    <row r="16" spans="1:69" x14ac:dyDescent="0.2">
      <c r="A16" s="20" t="s">
        <v>23</v>
      </c>
      <c r="B16" s="21" t="s">
        <v>24</v>
      </c>
      <c r="C16" s="25" t="s">
        <v>2</v>
      </c>
      <c r="D16" s="30">
        <v>66</v>
      </c>
      <c r="E16" s="31">
        <v>73</v>
      </c>
      <c r="F16" s="31">
        <v>50</v>
      </c>
      <c r="G16" s="31">
        <v>51</v>
      </c>
      <c r="H16" s="31">
        <v>35</v>
      </c>
      <c r="I16" s="31">
        <v>30</v>
      </c>
      <c r="J16" s="31">
        <v>45</v>
      </c>
      <c r="K16" s="31">
        <v>57</v>
      </c>
      <c r="L16" s="31">
        <v>51</v>
      </c>
      <c r="M16" s="32">
        <v>35</v>
      </c>
      <c r="N16" s="30">
        <v>53</v>
      </c>
      <c r="O16" s="31">
        <v>32</v>
      </c>
      <c r="P16" s="31">
        <v>31</v>
      </c>
      <c r="Q16" s="31">
        <v>37</v>
      </c>
      <c r="R16" s="31">
        <v>49</v>
      </c>
      <c r="S16" s="31">
        <v>33</v>
      </c>
      <c r="T16" s="31">
        <v>47</v>
      </c>
      <c r="U16" s="31">
        <v>38</v>
      </c>
      <c r="V16" s="31">
        <v>41</v>
      </c>
      <c r="W16" s="32">
        <v>32</v>
      </c>
      <c r="X16" s="30">
        <v>44</v>
      </c>
      <c r="Y16" s="31">
        <v>41</v>
      </c>
      <c r="Z16" s="31">
        <v>43</v>
      </c>
      <c r="AA16" s="31">
        <v>39</v>
      </c>
      <c r="AB16" s="31">
        <v>32</v>
      </c>
      <c r="AC16" s="31">
        <v>27</v>
      </c>
      <c r="AD16" s="31">
        <v>22</v>
      </c>
      <c r="AE16" s="31">
        <v>24</v>
      </c>
      <c r="AF16" s="31">
        <v>13</v>
      </c>
      <c r="AG16" s="32">
        <v>25</v>
      </c>
      <c r="AH16" s="30">
        <v>27</v>
      </c>
      <c r="AI16" s="31">
        <v>22</v>
      </c>
      <c r="AJ16" s="31">
        <v>18</v>
      </c>
      <c r="AK16" s="31">
        <v>18</v>
      </c>
      <c r="AL16" s="31">
        <v>17</v>
      </c>
      <c r="AM16" s="31">
        <v>24</v>
      </c>
      <c r="AN16" s="31">
        <v>18</v>
      </c>
      <c r="AO16" s="31">
        <v>15</v>
      </c>
      <c r="AP16" s="31">
        <v>18</v>
      </c>
      <c r="AQ16" s="32">
        <v>27</v>
      </c>
      <c r="AR16" s="30">
        <v>24</v>
      </c>
      <c r="AS16" s="31">
        <v>20</v>
      </c>
      <c r="AT16" s="31">
        <v>14</v>
      </c>
      <c r="AU16" s="31">
        <v>15</v>
      </c>
      <c r="AV16" s="31">
        <v>15</v>
      </c>
      <c r="AW16" s="31">
        <v>13</v>
      </c>
      <c r="AX16" s="31">
        <v>19</v>
      </c>
      <c r="AY16" s="31">
        <v>13</v>
      </c>
      <c r="AZ16" s="31">
        <v>26</v>
      </c>
      <c r="BA16" s="32">
        <v>17</v>
      </c>
      <c r="BB16" s="30">
        <v>22</v>
      </c>
      <c r="BC16" s="31">
        <v>21</v>
      </c>
      <c r="BD16" s="5">
        <v>14</v>
      </c>
      <c r="BE16" s="5">
        <v>23</v>
      </c>
      <c r="BF16" s="5">
        <v>24</v>
      </c>
      <c r="BG16" s="88">
        <v>29</v>
      </c>
      <c r="BH16" s="88">
        <v>30</v>
      </c>
      <c r="BI16" s="88">
        <v>24</v>
      </c>
      <c r="BJ16" s="88">
        <v>20</v>
      </c>
      <c r="BK16" s="89">
        <v>23</v>
      </c>
      <c r="BL16" s="126">
        <v>19</v>
      </c>
      <c r="BM16" s="5">
        <v>26</v>
      </c>
      <c r="BN16" s="5">
        <v>26</v>
      </c>
      <c r="BO16" s="5">
        <v>18</v>
      </c>
      <c r="BP16" s="5">
        <v>26</v>
      </c>
      <c r="BQ16" s="123">
        <v>20</v>
      </c>
    </row>
    <row r="17" spans="1:69" x14ac:dyDescent="0.2">
      <c r="A17" s="20" t="s">
        <v>25</v>
      </c>
      <c r="B17" s="21" t="s">
        <v>26</v>
      </c>
      <c r="C17" s="25"/>
      <c r="D17" s="30">
        <v>1416</v>
      </c>
      <c r="E17" s="31">
        <v>1644</v>
      </c>
      <c r="F17" s="31">
        <v>1479</v>
      </c>
      <c r="G17" s="31">
        <v>1292</v>
      </c>
      <c r="H17" s="31">
        <v>1113</v>
      </c>
      <c r="I17" s="31">
        <v>914</v>
      </c>
      <c r="J17" s="31">
        <v>670</v>
      </c>
      <c r="K17" s="31">
        <v>705</v>
      </c>
      <c r="L17" s="31">
        <v>710</v>
      </c>
      <c r="M17" s="32">
        <v>701</v>
      </c>
      <c r="N17" s="30">
        <v>833</v>
      </c>
      <c r="O17" s="31">
        <v>750</v>
      </c>
      <c r="P17" s="31">
        <v>726</v>
      </c>
      <c r="Q17" s="31">
        <v>715</v>
      </c>
      <c r="R17" s="31">
        <v>742</v>
      </c>
      <c r="S17" s="31">
        <v>803</v>
      </c>
      <c r="T17" s="31">
        <v>914</v>
      </c>
      <c r="U17" s="31">
        <v>912</v>
      </c>
      <c r="V17" s="31">
        <v>893</v>
      </c>
      <c r="W17" s="32">
        <v>959</v>
      </c>
      <c r="X17" s="30">
        <v>952</v>
      </c>
      <c r="Y17" s="31">
        <v>922</v>
      </c>
      <c r="Z17" s="31">
        <v>927</v>
      </c>
      <c r="AA17" s="31">
        <v>977</v>
      </c>
      <c r="AB17" s="31">
        <v>921</v>
      </c>
      <c r="AC17" s="31">
        <v>1029</v>
      </c>
      <c r="AD17" s="31">
        <v>899</v>
      </c>
      <c r="AE17" s="31">
        <v>935</v>
      </c>
      <c r="AF17" s="31">
        <v>883</v>
      </c>
      <c r="AG17" s="32">
        <v>941</v>
      </c>
      <c r="AH17" s="30">
        <v>1011</v>
      </c>
      <c r="AI17" s="31">
        <v>1138</v>
      </c>
      <c r="AJ17" s="31">
        <v>1112</v>
      </c>
      <c r="AK17" s="31">
        <v>1145</v>
      </c>
      <c r="AL17" s="31">
        <v>1214</v>
      </c>
      <c r="AM17" s="31">
        <v>1267</v>
      </c>
      <c r="AN17" s="31">
        <v>1334</v>
      </c>
      <c r="AO17" s="31">
        <v>1383</v>
      </c>
      <c r="AP17" s="31">
        <v>1318</v>
      </c>
      <c r="AQ17" s="32">
        <v>1424</v>
      </c>
      <c r="AR17" s="30">
        <v>1410</v>
      </c>
      <c r="AS17" s="31">
        <v>1313</v>
      </c>
      <c r="AT17" s="31">
        <v>1387</v>
      </c>
      <c r="AU17" s="31">
        <v>1433</v>
      </c>
      <c r="AV17" s="31">
        <v>1450</v>
      </c>
      <c r="AW17" s="31">
        <v>1487</v>
      </c>
      <c r="AX17" s="31">
        <v>1543</v>
      </c>
      <c r="AY17" s="31">
        <v>1596</v>
      </c>
      <c r="AZ17" s="31">
        <v>1616</v>
      </c>
      <c r="BA17" s="32">
        <v>1644</v>
      </c>
      <c r="BB17" s="30">
        <v>1619</v>
      </c>
      <c r="BC17" s="31">
        <v>1587</v>
      </c>
      <c r="BD17" s="5">
        <v>1562</v>
      </c>
      <c r="BE17" s="5">
        <v>1477</v>
      </c>
      <c r="BF17" s="5">
        <v>1487</v>
      </c>
      <c r="BG17" s="88">
        <v>1495</v>
      </c>
      <c r="BH17" s="88">
        <v>1476</v>
      </c>
      <c r="BI17" s="88">
        <v>1469</v>
      </c>
      <c r="BJ17" s="88">
        <v>1494</v>
      </c>
      <c r="BK17" s="89">
        <v>1407</v>
      </c>
      <c r="BL17" s="126">
        <v>1375</v>
      </c>
      <c r="BM17" s="5">
        <v>1358</v>
      </c>
      <c r="BN17" s="5">
        <v>1401</v>
      </c>
      <c r="BO17" s="5">
        <v>1403</v>
      </c>
      <c r="BP17" s="5">
        <v>1580</v>
      </c>
      <c r="BQ17" s="123">
        <v>1470</v>
      </c>
    </row>
    <row r="18" spans="1:69" x14ac:dyDescent="0.2">
      <c r="A18" s="20" t="s">
        <v>27</v>
      </c>
      <c r="B18" s="21" t="s">
        <v>28</v>
      </c>
      <c r="C18" s="25" t="s">
        <v>2</v>
      </c>
      <c r="D18" s="30">
        <v>1161</v>
      </c>
      <c r="E18" s="31">
        <v>1037</v>
      </c>
      <c r="F18" s="31">
        <v>1106</v>
      </c>
      <c r="G18" s="31">
        <v>1024</v>
      </c>
      <c r="H18" s="31">
        <v>1096</v>
      </c>
      <c r="I18" s="31">
        <v>1053</v>
      </c>
      <c r="J18" s="31">
        <v>1000</v>
      </c>
      <c r="K18" s="31">
        <v>943</v>
      </c>
      <c r="L18" s="31">
        <v>1001</v>
      </c>
      <c r="M18" s="32">
        <v>1052</v>
      </c>
      <c r="N18" s="30">
        <v>1079</v>
      </c>
      <c r="O18" s="31">
        <v>949</v>
      </c>
      <c r="P18" s="31">
        <v>942</v>
      </c>
      <c r="Q18" s="31">
        <v>845</v>
      </c>
      <c r="R18" s="31">
        <v>924</v>
      </c>
      <c r="S18" s="31">
        <v>865</v>
      </c>
      <c r="T18" s="31">
        <v>983</v>
      </c>
      <c r="U18" s="31">
        <v>1031</v>
      </c>
      <c r="V18" s="31">
        <v>1079</v>
      </c>
      <c r="W18" s="32">
        <v>1199</v>
      </c>
      <c r="X18" s="30">
        <v>1124</v>
      </c>
      <c r="Y18" s="31">
        <v>1069</v>
      </c>
      <c r="Z18" s="31">
        <v>1106</v>
      </c>
      <c r="AA18" s="31">
        <v>1018</v>
      </c>
      <c r="AB18" s="31">
        <v>1053</v>
      </c>
      <c r="AC18" s="31">
        <v>1028</v>
      </c>
      <c r="AD18" s="31">
        <v>922</v>
      </c>
      <c r="AE18" s="31">
        <v>896</v>
      </c>
      <c r="AF18" s="31">
        <v>953</v>
      </c>
      <c r="AG18" s="32">
        <v>933</v>
      </c>
      <c r="AH18" s="30">
        <v>940</v>
      </c>
      <c r="AI18" s="31">
        <v>1006</v>
      </c>
      <c r="AJ18" s="31">
        <v>910</v>
      </c>
      <c r="AK18" s="31">
        <v>854</v>
      </c>
      <c r="AL18" s="31">
        <v>856</v>
      </c>
      <c r="AM18" s="31">
        <v>880</v>
      </c>
      <c r="AN18" s="31">
        <v>867</v>
      </c>
      <c r="AO18" s="31">
        <v>859</v>
      </c>
      <c r="AP18" s="31">
        <v>853</v>
      </c>
      <c r="AQ18" s="32">
        <v>824</v>
      </c>
      <c r="AR18" s="30">
        <v>791</v>
      </c>
      <c r="AS18" s="31">
        <v>765</v>
      </c>
      <c r="AT18" s="31">
        <v>823</v>
      </c>
      <c r="AU18" s="31">
        <v>808</v>
      </c>
      <c r="AV18" s="31">
        <v>845</v>
      </c>
      <c r="AW18" s="31">
        <v>852</v>
      </c>
      <c r="AX18" s="31">
        <v>883</v>
      </c>
      <c r="AY18" s="31">
        <v>891</v>
      </c>
      <c r="AZ18" s="31">
        <v>894</v>
      </c>
      <c r="BA18" s="32">
        <v>813</v>
      </c>
      <c r="BB18" s="30">
        <v>846</v>
      </c>
      <c r="BC18" s="31">
        <v>803</v>
      </c>
      <c r="BD18" s="5">
        <v>793</v>
      </c>
      <c r="BE18" s="5">
        <v>752</v>
      </c>
      <c r="BF18" s="5">
        <v>764</v>
      </c>
      <c r="BG18" s="88">
        <v>794</v>
      </c>
      <c r="BH18" s="88">
        <v>748</v>
      </c>
      <c r="BI18" s="88">
        <v>733</v>
      </c>
      <c r="BJ18" s="88">
        <v>717</v>
      </c>
      <c r="BK18" s="89">
        <v>701</v>
      </c>
      <c r="BL18" s="126">
        <v>693</v>
      </c>
      <c r="BM18" s="5">
        <v>695</v>
      </c>
      <c r="BN18" s="5">
        <v>659</v>
      </c>
      <c r="BO18" s="5">
        <v>687</v>
      </c>
      <c r="BP18" s="5">
        <v>654</v>
      </c>
      <c r="BQ18" s="123">
        <v>610</v>
      </c>
    </row>
    <row r="19" spans="1:69" x14ac:dyDescent="0.2">
      <c r="A19" s="20" t="s">
        <v>29</v>
      </c>
      <c r="B19" s="21" t="s">
        <v>30</v>
      </c>
      <c r="C19" s="25" t="s">
        <v>2</v>
      </c>
      <c r="D19" s="30">
        <v>604</v>
      </c>
      <c r="E19" s="31">
        <v>636</v>
      </c>
      <c r="F19" s="31">
        <v>649</v>
      </c>
      <c r="G19" s="31">
        <v>621</v>
      </c>
      <c r="H19" s="31">
        <v>575</v>
      </c>
      <c r="I19" s="31">
        <v>482</v>
      </c>
      <c r="J19" s="31">
        <v>481</v>
      </c>
      <c r="K19" s="31">
        <v>594</v>
      </c>
      <c r="L19" s="31">
        <v>573</v>
      </c>
      <c r="M19" s="32">
        <v>602</v>
      </c>
      <c r="N19" s="30">
        <v>682</v>
      </c>
      <c r="O19" s="31">
        <v>570</v>
      </c>
      <c r="P19" s="31">
        <v>592</v>
      </c>
      <c r="Q19" s="31">
        <v>543</v>
      </c>
      <c r="R19" s="31">
        <v>661</v>
      </c>
      <c r="S19" s="31">
        <v>632</v>
      </c>
      <c r="T19" s="31">
        <v>642</v>
      </c>
      <c r="U19" s="31">
        <v>732</v>
      </c>
      <c r="V19" s="31">
        <v>761</v>
      </c>
      <c r="W19" s="32">
        <v>809</v>
      </c>
      <c r="X19" s="30">
        <v>792</v>
      </c>
      <c r="Y19" s="31">
        <v>804</v>
      </c>
      <c r="Z19" s="31">
        <v>789</v>
      </c>
      <c r="AA19" s="31">
        <v>895</v>
      </c>
      <c r="AB19" s="31">
        <v>878</v>
      </c>
      <c r="AC19" s="31">
        <v>897</v>
      </c>
      <c r="AD19" s="31">
        <v>846</v>
      </c>
      <c r="AE19" s="31">
        <v>926</v>
      </c>
      <c r="AF19" s="31">
        <v>938</v>
      </c>
      <c r="AG19" s="32">
        <v>988</v>
      </c>
      <c r="AH19" s="30">
        <v>1038</v>
      </c>
      <c r="AI19" s="31">
        <v>1032</v>
      </c>
      <c r="AJ19" s="31">
        <v>1105</v>
      </c>
      <c r="AK19" s="31">
        <v>1013</v>
      </c>
      <c r="AL19" s="31">
        <v>1015</v>
      </c>
      <c r="AM19" s="31">
        <v>937</v>
      </c>
      <c r="AN19" s="31">
        <v>974</v>
      </c>
      <c r="AO19" s="31">
        <v>1008</v>
      </c>
      <c r="AP19" s="31">
        <v>872</v>
      </c>
      <c r="AQ19" s="32">
        <v>932</v>
      </c>
      <c r="AR19" s="30">
        <v>938</v>
      </c>
      <c r="AS19" s="31">
        <v>909</v>
      </c>
      <c r="AT19" s="31">
        <v>932</v>
      </c>
      <c r="AU19" s="31">
        <v>967</v>
      </c>
      <c r="AV19" s="31">
        <v>992</v>
      </c>
      <c r="AW19" s="31">
        <v>973</v>
      </c>
      <c r="AX19" s="31">
        <v>929</v>
      </c>
      <c r="AY19" s="31">
        <v>1007</v>
      </c>
      <c r="AZ19" s="31">
        <v>914</v>
      </c>
      <c r="BA19" s="32">
        <v>922</v>
      </c>
      <c r="BB19" s="30">
        <v>905</v>
      </c>
      <c r="BC19" s="31">
        <v>930</v>
      </c>
      <c r="BD19" s="5">
        <v>882</v>
      </c>
      <c r="BE19" s="5">
        <v>868</v>
      </c>
      <c r="BF19" s="5">
        <v>884</v>
      </c>
      <c r="BG19" s="88">
        <v>969</v>
      </c>
      <c r="BH19" s="88">
        <v>940</v>
      </c>
      <c r="BI19" s="88">
        <v>915</v>
      </c>
      <c r="BJ19" s="88">
        <v>904</v>
      </c>
      <c r="BK19" s="89">
        <v>877</v>
      </c>
      <c r="BL19" s="126">
        <v>751</v>
      </c>
      <c r="BM19" s="5">
        <v>763</v>
      </c>
      <c r="BN19" s="5">
        <v>773</v>
      </c>
      <c r="BO19" s="5">
        <v>728</v>
      </c>
      <c r="BP19" s="5">
        <v>800</v>
      </c>
      <c r="BQ19" s="123">
        <v>769</v>
      </c>
    </row>
    <row r="20" spans="1:69" x14ac:dyDescent="0.2">
      <c r="A20" s="20" t="s">
        <v>31</v>
      </c>
      <c r="B20" s="21" t="s">
        <v>32</v>
      </c>
      <c r="C20" s="25" t="s">
        <v>2</v>
      </c>
      <c r="D20" s="30">
        <v>205</v>
      </c>
      <c r="E20" s="31">
        <v>208</v>
      </c>
      <c r="F20" s="31">
        <v>174</v>
      </c>
      <c r="G20" s="31">
        <v>155</v>
      </c>
      <c r="H20" s="31">
        <v>145</v>
      </c>
      <c r="I20" s="31">
        <v>156</v>
      </c>
      <c r="J20" s="31">
        <v>137</v>
      </c>
      <c r="K20" s="31">
        <v>143</v>
      </c>
      <c r="L20" s="31">
        <v>142</v>
      </c>
      <c r="M20" s="32">
        <v>150</v>
      </c>
      <c r="N20" s="30">
        <v>152</v>
      </c>
      <c r="O20" s="31">
        <v>110</v>
      </c>
      <c r="P20" s="31">
        <v>129</v>
      </c>
      <c r="Q20" s="31">
        <v>140</v>
      </c>
      <c r="R20" s="31">
        <v>139</v>
      </c>
      <c r="S20" s="31">
        <v>133</v>
      </c>
      <c r="T20" s="31">
        <v>179</v>
      </c>
      <c r="U20" s="31">
        <v>198</v>
      </c>
      <c r="V20" s="31">
        <v>210</v>
      </c>
      <c r="W20" s="32">
        <v>221</v>
      </c>
      <c r="X20" s="30">
        <v>232</v>
      </c>
      <c r="Y20" s="31">
        <v>249</v>
      </c>
      <c r="Z20" s="31">
        <v>217</v>
      </c>
      <c r="AA20" s="31">
        <v>218</v>
      </c>
      <c r="AB20" s="31">
        <v>227</v>
      </c>
      <c r="AC20" s="31">
        <v>198</v>
      </c>
      <c r="AD20" s="31">
        <v>201</v>
      </c>
      <c r="AE20" s="31">
        <v>225</v>
      </c>
      <c r="AF20" s="31">
        <v>222</v>
      </c>
      <c r="AG20" s="32">
        <v>194</v>
      </c>
      <c r="AH20" s="30">
        <v>223</v>
      </c>
      <c r="AI20" s="31">
        <v>250</v>
      </c>
      <c r="AJ20" s="31">
        <v>252</v>
      </c>
      <c r="AK20" s="31">
        <v>223</v>
      </c>
      <c r="AL20" s="31">
        <v>212</v>
      </c>
      <c r="AM20" s="31">
        <v>213</v>
      </c>
      <c r="AN20" s="31">
        <v>209</v>
      </c>
      <c r="AO20" s="31">
        <v>216</v>
      </c>
      <c r="AP20" s="31">
        <v>196</v>
      </c>
      <c r="AQ20" s="32">
        <v>217</v>
      </c>
      <c r="AR20" s="30">
        <v>202</v>
      </c>
      <c r="AS20" s="31">
        <v>211</v>
      </c>
      <c r="AT20" s="31">
        <v>188</v>
      </c>
      <c r="AU20" s="31">
        <v>227</v>
      </c>
      <c r="AV20" s="31">
        <v>186</v>
      </c>
      <c r="AW20" s="31">
        <v>220</v>
      </c>
      <c r="AX20" s="31">
        <v>219</v>
      </c>
      <c r="AY20" s="31">
        <v>206</v>
      </c>
      <c r="AZ20" s="31">
        <v>197</v>
      </c>
      <c r="BA20" s="32">
        <v>195</v>
      </c>
      <c r="BB20" s="30">
        <v>204</v>
      </c>
      <c r="BC20" s="31">
        <v>187</v>
      </c>
      <c r="BD20" s="5">
        <v>192</v>
      </c>
      <c r="BE20" s="5">
        <v>197</v>
      </c>
      <c r="BF20" s="5">
        <v>177</v>
      </c>
      <c r="BG20" s="88">
        <v>194</v>
      </c>
      <c r="BH20" s="88">
        <v>191</v>
      </c>
      <c r="BI20" s="88">
        <v>165</v>
      </c>
      <c r="BJ20" s="88">
        <v>186</v>
      </c>
      <c r="BK20" s="89">
        <v>194</v>
      </c>
      <c r="BL20" s="126">
        <v>131</v>
      </c>
      <c r="BM20" s="5">
        <v>170</v>
      </c>
      <c r="BN20" s="5">
        <v>145</v>
      </c>
      <c r="BO20" s="5">
        <v>127</v>
      </c>
      <c r="BP20" s="5">
        <v>146</v>
      </c>
      <c r="BQ20" s="123">
        <v>162</v>
      </c>
    </row>
    <row r="21" spans="1:69" x14ac:dyDescent="0.2">
      <c r="A21" s="20" t="s">
        <v>33</v>
      </c>
      <c r="B21" s="21" t="s">
        <v>34</v>
      </c>
      <c r="C21" s="25" t="s">
        <v>2</v>
      </c>
      <c r="D21" s="30">
        <v>21363</v>
      </c>
      <c r="E21" s="31">
        <v>21431</v>
      </c>
      <c r="F21" s="31">
        <v>21526</v>
      </c>
      <c r="G21" s="31">
        <v>20158</v>
      </c>
      <c r="H21" s="31">
        <v>17782</v>
      </c>
      <c r="I21" s="31">
        <v>17041</v>
      </c>
      <c r="J21" s="31">
        <v>18433</v>
      </c>
      <c r="K21" s="31">
        <v>19313</v>
      </c>
      <c r="L21" s="31">
        <v>20417</v>
      </c>
      <c r="M21" s="32">
        <v>20512</v>
      </c>
      <c r="N21" s="30">
        <v>18866</v>
      </c>
      <c r="O21" s="31">
        <v>15658</v>
      </c>
      <c r="P21" s="31">
        <v>13679</v>
      </c>
      <c r="Q21" s="31">
        <v>13291</v>
      </c>
      <c r="R21" s="31">
        <v>13544</v>
      </c>
      <c r="S21" s="31">
        <v>13448</v>
      </c>
      <c r="T21" s="31">
        <v>13994</v>
      </c>
      <c r="U21" s="31">
        <v>14703</v>
      </c>
      <c r="V21" s="31">
        <v>15500</v>
      </c>
      <c r="W21" s="32">
        <v>16832</v>
      </c>
      <c r="X21" s="30">
        <v>17840</v>
      </c>
      <c r="Y21" s="31">
        <v>18816</v>
      </c>
      <c r="Z21" s="31">
        <v>18991</v>
      </c>
      <c r="AA21" s="31">
        <v>18474</v>
      </c>
      <c r="AB21" s="31">
        <v>19174</v>
      </c>
      <c r="AC21" s="31">
        <v>20016</v>
      </c>
      <c r="AD21" s="31">
        <v>20048</v>
      </c>
      <c r="AE21" s="31">
        <v>20655</v>
      </c>
      <c r="AF21" s="31">
        <v>21574</v>
      </c>
      <c r="AG21" s="32">
        <v>22745</v>
      </c>
      <c r="AH21" s="30">
        <v>23144</v>
      </c>
      <c r="AI21" s="31">
        <v>23129</v>
      </c>
      <c r="AJ21" s="31">
        <v>22859</v>
      </c>
      <c r="AK21" s="31">
        <v>22287</v>
      </c>
      <c r="AL21" s="31">
        <v>21997</v>
      </c>
      <c r="AM21" s="31">
        <v>21580</v>
      </c>
      <c r="AN21" s="31">
        <v>21613</v>
      </c>
      <c r="AO21" s="31">
        <v>21925</v>
      </c>
      <c r="AP21" s="31">
        <v>22189</v>
      </c>
      <c r="AQ21" s="32">
        <v>22089</v>
      </c>
      <c r="AR21" s="30">
        <v>22355</v>
      </c>
      <c r="AS21" s="31">
        <v>21814</v>
      </c>
      <c r="AT21" s="31">
        <v>21909</v>
      </c>
      <c r="AU21" s="31">
        <v>22508</v>
      </c>
      <c r="AV21" s="31">
        <v>22877</v>
      </c>
      <c r="AW21" s="31">
        <v>22890</v>
      </c>
      <c r="AX21" s="31">
        <v>24491</v>
      </c>
      <c r="AY21" s="31">
        <v>25051</v>
      </c>
      <c r="AZ21" s="31">
        <v>25108</v>
      </c>
      <c r="BA21" s="32">
        <v>25002</v>
      </c>
      <c r="BB21" s="30">
        <v>24400</v>
      </c>
      <c r="BC21" s="31">
        <v>24626</v>
      </c>
      <c r="BD21" s="5">
        <v>25177</v>
      </c>
      <c r="BE21" s="5">
        <v>25023</v>
      </c>
      <c r="BF21" s="5">
        <v>25311</v>
      </c>
      <c r="BG21" s="88">
        <v>25768</v>
      </c>
      <c r="BH21" s="88">
        <v>25663</v>
      </c>
      <c r="BI21" s="88">
        <v>25153</v>
      </c>
      <c r="BJ21" s="88">
        <v>24360</v>
      </c>
      <c r="BK21" s="89">
        <v>24090</v>
      </c>
      <c r="BL21" s="126">
        <v>23153</v>
      </c>
      <c r="BM21" s="5">
        <v>23618</v>
      </c>
      <c r="BN21" s="5">
        <v>22743</v>
      </c>
      <c r="BO21" s="5">
        <v>22652</v>
      </c>
      <c r="BP21" s="5">
        <v>23003</v>
      </c>
      <c r="BQ21" s="123">
        <v>22868</v>
      </c>
    </row>
    <row r="22" spans="1:69" x14ac:dyDescent="0.2">
      <c r="A22" s="20" t="s">
        <v>36</v>
      </c>
      <c r="B22" s="21" t="s">
        <v>37</v>
      </c>
      <c r="C22" s="25"/>
      <c r="D22" s="30">
        <v>1706</v>
      </c>
      <c r="E22" s="31">
        <v>1725</v>
      </c>
      <c r="F22" s="31">
        <v>1699</v>
      </c>
      <c r="G22" s="31">
        <v>1593</v>
      </c>
      <c r="H22" s="31">
        <v>1557</v>
      </c>
      <c r="I22" s="31">
        <v>1507</v>
      </c>
      <c r="J22" s="31">
        <v>1422</v>
      </c>
      <c r="K22" s="31">
        <v>1587</v>
      </c>
      <c r="L22" s="31">
        <v>1672</v>
      </c>
      <c r="M22" s="32">
        <v>1773</v>
      </c>
      <c r="N22" s="30">
        <v>1839</v>
      </c>
      <c r="O22" s="31">
        <v>1615</v>
      </c>
      <c r="P22" s="31">
        <v>1533</v>
      </c>
      <c r="Q22" s="31">
        <v>1511</v>
      </c>
      <c r="R22" s="31">
        <v>1653</v>
      </c>
      <c r="S22" s="31">
        <v>1793</v>
      </c>
      <c r="T22" s="31">
        <v>1862</v>
      </c>
      <c r="U22" s="31">
        <v>2123</v>
      </c>
      <c r="V22" s="31">
        <v>2182</v>
      </c>
      <c r="W22" s="32">
        <v>2330</v>
      </c>
      <c r="X22" s="30">
        <v>2553</v>
      </c>
      <c r="Y22" s="31">
        <v>2777</v>
      </c>
      <c r="Z22" s="31">
        <v>2662</v>
      </c>
      <c r="AA22" s="31">
        <v>2914</v>
      </c>
      <c r="AB22" s="31">
        <v>2749</v>
      </c>
      <c r="AC22" s="31">
        <v>2827</v>
      </c>
      <c r="AD22" s="31">
        <v>2696</v>
      </c>
      <c r="AE22" s="31">
        <v>2844</v>
      </c>
      <c r="AF22" s="31">
        <v>2880</v>
      </c>
      <c r="AG22" s="32">
        <v>3172</v>
      </c>
      <c r="AH22" s="30">
        <v>3408</v>
      </c>
      <c r="AI22" s="31">
        <v>3515</v>
      </c>
      <c r="AJ22" s="31">
        <v>3504</v>
      </c>
      <c r="AK22" s="31">
        <v>3135</v>
      </c>
      <c r="AL22" s="31">
        <v>3354</v>
      </c>
      <c r="AM22" s="31">
        <v>3284</v>
      </c>
      <c r="AN22" s="31">
        <v>3282</v>
      </c>
      <c r="AO22" s="31">
        <v>3197</v>
      </c>
      <c r="AP22" s="31">
        <v>2945</v>
      </c>
      <c r="AQ22" s="32">
        <v>3013</v>
      </c>
      <c r="AR22" s="30">
        <v>3002</v>
      </c>
      <c r="AS22" s="31">
        <v>2975</v>
      </c>
      <c r="AT22" s="31">
        <v>2980</v>
      </c>
      <c r="AU22" s="31">
        <v>2925</v>
      </c>
      <c r="AV22" s="31">
        <v>2988</v>
      </c>
      <c r="AW22" s="31">
        <v>2975</v>
      </c>
      <c r="AX22" s="31">
        <v>2976</v>
      </c>
      <c r="AY22" s="31">
        <v>2903</v>
      </c>
      <c r="AZ22" s="31">
        <v>3076</v>
      </c>
      <c r="BA22" s="32">
        <v>2884</v>
      </c>
      <c r="BB22" s="30">
        <v>2979</v>
      </c>
      <c r="BC22" s="31">
        <v>2954</v>
      </c>
      <c r="BD22" s="5">
        <v>3018</v>
      </c>
      <c r="BE22" s="5">
        <v>2835</v>
      </c>
      <c r="BF22" s="5">
        <v>3002</v>
      </c>
      <c r="BG22" s="88">
        <v>3100</v>
      </c>
      <c r="BH22" s="88">
        <v>3115</v>
      </c>
      <c r="BI22" s="88">
        <v>3015</v>
      </c>
      <c r="BJ22" s="88">
        <v>2974</v>
      </c>
      <c r="BK22" s="89">
        <v>2937</v>
      </c>
      <c r="BL22" s="126">
        <v>2720</v>
      </c>
      <c r="BM22" s="5">
        <v>2826</v>
      </c>
      <c r="BN22" s="5">
        <v>2870</v>
      </c>
      <c r="BO22" s="5">
        <v>2681</v>
      </c>
      <c r="BP22" s="5">
        <v>2812</v>
      </c>
      <c r="BQ22" s="123">
        <v>2832</v>
      </c>
    </row>
    <row r="23" spans="1:69" x14ac:dyDescent="0.2">
      <c r="A23" s="20" t="s">
        <v>38</v>
      </c>
      <c r="B23" s="21" t="s">
        <v>39</v>
      </c>
      <c r="C23" s="25" t="s">
        <v>2</v>
      </c>
      <c r="D23" s="30">
        <v>424</v>
      </c>
      <c r="E23" s="31">
        <v>481</v>
      </c>
      <c r="F23" s="31">
        <v>388</v>
      </c>
      <c r="G23" s="31">
        <v>378</v>
      </c>
      <c r="H23" s="31">
        <v>305</v>
      </c>
      <c r="I23" s="31">
        <v>320</v>
      </c>
      <c r="J23" s="31">
        <v>331</v>
      </c>
      <c r="K23" s="31">
        <v>345</v>
      </c>
      <c r="L23" s="31">
        <v>376</v>
      </c>
      <c r="M23" s="32">
        <v>357</v>
      </c>
      <c r="N23" s="30">
        <v>388</v>
      </c>
      <c r="O23" s="31">
        <v>357</v>
      </c>
      <c r="P23" s="31">
        <v>282</v>
      </c>
      <c r="Q23" s="31">
        <v>267</v>
      </c>
      <c r="R23" s="31">
        <v>269</v>
      </c>
      <c r="S23" s="31">
        <v>292</v>
      </c>
      <c r="T23" s="31">
        <v>311</v>
      </c>
      <c r="U23" s="31">
        <v>317</v>
      </c>
      <c r="V23" s="31">
        <v>323</v>
      </c>
      <c r="W23" s="32">
        <v>298</v>
      </c>
      <c r="X23" s="30">
        <v>353</v>
      </c>
      <c r="Y23" s="31">
        <v>328</v>
      </c>
      <c r="Z23" s="31">
        <v>356</v>
      </c>
      <c r="AA23" s="31">
        <v>327</v>
      </c>
      <c r="AB23" s="31">
        <v>334</v>
      </c>
      <c r="AC23" s="31">
        <v>311</v>
      </c>
      <c r="AD23" s="31">
        <v>266</v>
      </c>
      <c r="AE23" s="31">
        <v>298</v>
      </c>
      <c r="AF23" s="31">
        <v>301</v>
      </c>
      <c r="AG23" s="32">
        <v>317</v>
      </c>
      <c r="AH23" s="30">
        <v>320</v>
      </c>
      <c r="AI23" s="31">
        <v>321</v>
      </c>
      <c r="AJ23" s="31">
        <v>309</v>
      </c>
      <c r="AK23" s="31">
        <v>306</v>
      </c>
      <c r="AL23" s="31">
        <v>300</v>
      </c>
      <c r="AM23" s="31">
        <v>331</v>
      </c>
      <c r="AN23" s="31">
        <v>318</v>
      </c>
      <c r="AO23" s="31">
        <v>345</v>
      </c>
      <c r="AP23" s="31">
        <v>348</v>
      </c>
      <c r="AQ23" s="32">
        <v>363</v>
      </c>
      <c r="AR23" s="30">
        <v>391</v>
      </c>
      <c r="AS23" s="31">
        <v>347</v>
      </c>
      <c r="AT23" s="31">
        <v>343</v>
      </c>
      <c r="AU23" s="31">
        <v>373</v>
      </c>
      <c r="AV23" s="31">
        <v>357</v>
      </c>
      <c r="AW23" s="31">
        <v>328</v>
      </c>
      <c r="AX23" s="31">
        <v>374</v>
      </c>
      <c r="AY23" s="31">
        <v>406</v>
      </c>
      <c r="AZ23" s="31">
        <v>392</v>
      </c>
      <c r="BA23" s="32">
        <v>422</v>
      </c>
      <c r="BB23" s="30">
        <v>433</v>
      </c>
      <c r="BC23" s="31">
        <v>391</v>
      </c>
      <c r="BD23" s="5">
        <v>418</v>
      </c>
      <c r="BE23" s="5">
        <v>380</v>
      </c>
      <c r="BF23" s="5">
        <v>394</v>
      </c>
      <c r="BG23" s="88">
        <v>409</v>
      </c>
      <c r="BH23" s="88">
        <v>423</v>
      </c>
      <c r="BI23" s="88">
        <v>417</v>
      </c>
      <c r="BJ23" s="88">
        <v>408</v>
      </c>
      <c r="BK23" s="89">
        <v>403</v>
      </c>
      <c r="BL23" s="126">
        <v>358</v>
      </c>
      <c r="BM23" s="5">
        <v>398</v>
      </c>
      <c r="BN23" s="5">
        <v>425</v>
      </c>
      <c r="BO23" s="5">
        <v>382</v>
      </c>
      <c r="BP23" s="5">
        <v>403</v>
      </c>
      <c r="BQ23" s="123">
        <v>458</v>
      </c>
    </row>
    <row r="24" spans="1:69" x14ac:dyDescent="0.2">
      <c r="A24" s="20" t="s">
        <v>40</v>
      </c>
      <c r="B24" s="21" t="s">
        <v>41</v>
      </c>
      <c r="C24" s="25" t="s">
        <v>2</v>
      </c>
      <c r="D24" s="30">
        <v>317</v>
      </c>
      <c r="E24" s="31">
        <v>306</v>
      </c>
      <c r="F24" s="31">
        <v>284</v>
      </c>
      <c r="G24" s="31">
        <v>269</v>
      </c>
      <c r="H24" s="31">
        <v>248</v>
      </c>
      <c r="I24" s="31">
        <v>237</v>
      </c>
      <c r="J24" s="31">
        <v>228</v>
      </c>
      <c r="K24" s="31">
        <v>174</v>
      </c>
      <c r="L24" s="31">
        <v>182</v>
      </c>
      <c r="M24" s="32">
        <v>199</v>
      </c>
      <c r="N24" s="30">
        <v>175</v>
      </c>
      <c r="O24" s="31">
        <v>203</v>
      </c>
      <c r="P24" s="31">
        <v>221</v>
      </c>
      <c r="Q24" s="31">
        <v>220</v>
      </c>
      <c r="R24" s="31">
        <v>210</v>
      </c>
      <c r="S24" s="31">
        <v>251</v>
      </c>
      <c r="T24" s="31">
        <v>254</v>
      </c>
      <c r="U24" s="31">
        <v>237</v>
      </c>
      <c r="V24" s="31">
        <v>258</v>
      </c>
      <c r="W24" s="32">
        <v>271</v>
      </c>
      <c r="X24" s="30">
        <v>243</v>
      </c>
      <c r="Y24" s="31">
        <v>321</v>
      </c>
      <c r="Z24" s="31">
        <v>277</v>
      </c>
      <c r="AA24" s="31">
        <v>263</v>
      </c>
      <c r="AB24" s="31">
        <v>256</v>
      </c>
      <c r="AC24" s="31">
        <v>259</v>
      </c>
      <c r="AD24" s="31">
        <v>235</v>
      </c>
      <c r="AE24" s="31">
        <v>215</v>
      </c>
      <c r="AF24" s="31">
        <v>216</v>
      </c>
      <c r="AG24" s="32">
        <v>248</v>
      </c>
      <c r="AH24" s="30">
        <v>230</v>
      </c>
      <c r="AI24" s="31">
        <v>251</v>
      </c>
      <c r="AJ24" s="31">
        <v>235</v>
      </c>
      <c r="AK24" s="31">
        <v>230</v>
      </c>
      <c r="AL24" s="31">
        <v>233</v>
      </c>
      <c r="AM24" s="31">
        <v>234</v>
      </c>
      <c r="AN24" s="31">
        <v>236</v>
      </c>
      <c r="AO24" s="31">
        <v>227</v>
      </c>
      <c r="AP24" s="31">
        <v>238</v>
      </c>
      <c r="AQ24" s="32">
        <v>236</v>
      </c>
      <c r="AR24" s="30">
        <v>247</v>
      </c>
      <c r="AS24" s="31">
        <v>214</v>
      </c>
      <c r="AT24" s="31">
        <v>251</v>
      </c>
      <c r="AU24" s="31">
        <v>219</v>
      </c>
      <c r="AV24" s="31">
        <v>216</v>
      </c>
      <c r="AW24" s="31">
        <v>212</v>
      </c>
      <c r="AX24" s="31">
        <v>215</v>
      </c>
      <c r="AY24" s="31">
        <v>225</v>
      </c>
      <c r="AZ24" s="31">
        <v>207</v>
      </c>
      <c r="BA24" s="32">
        <v>216</v>
      </c>
      <c r="BB24" s="30">
        <v>238</v>
      </c>
      <c r="BC24" s="31">
        <v>209</v>
      </c>
      <c r="BD24" s="5">
        <v>206</v>
      </c>
      <c r="BE24" s="5">
        <v>186</v>
      </c>
      <c r="BF24" s="5">
        <v>208</v>
      </c>
      <c r="BG24" s="88">
        <v>207</v>
      </c>
      <c r="BH24" s="88">
        <v>186</v>
      </c>
      <c r="BI24" s="88">
        <v>223</v>
      </c>
      <c r="BJ24" s="88">
        <v>212</v>
      </c>
      <c r="BK24" s="89">
        <v>202</v>
      </c>
      <c r="BL24" s="126">
        <v>198</v>
      </c>
      <c r="BM24" s="5">
        <v>196</v>
      </c>
      <c r="BN24" s="5">
        <v>200</v>
      </c>
      <c r="BO24" s="5">
        <v>203</v>
      </c>
      <c r="BP24" s="5">
        <v>244</v>
      </c>
      <c r="BQ24" s="123">
        <v>245</v>
      </c>
    </row>
    <row r="25" spans="1:69" x14ac:dyDescent="0.2">
      <c r="A25" s="20" t="s">
        <v>42</v>
      </c>
      <c r="B25" s="21" t="s">
        <v>43</v>
      </c>
      <c r="C25" s="25" t="s">
        <v>2</v>
      </c>
      <c r="D25" s="30">
        <v>776</v>
      </c>
      <c r="E25" s="31">
        <v>808</v>
      </c>
      <c r="F25" s="31">
        <v>806</v>
      </c>
      <c r="G25" s="31">
        <v>706</v>
      </c>
      <c r="H25" s="31">
        <v>700</v>
      </c>
      <c r="I25" s="31">
        <v>697</v>
      </c>
      <c r="J25" s="31">
        <v>701</v>
      </c>
      <c r="K25" s="31">
        <v>687</v>
      </c>
      <c r="L25" s="31">
        <v>747</v>
      </c>
      <c r="M25" s="32">
        <v>716</v>
      </c>
      <c r="N25" s="30">
        <v>744</v>
      </c>
      <c r="O25" s="31">
        <v>761</v>
      </c>
      <c r="P25" s="31">
        <v>742</v>
      </c>
      <c r="Q25" s="31">
        <v>758</v>
      </c>
      <c r="R25" s="31">
        <v>735</v>
      </c>
      <c r="S25" s="31">
        <v>805</v>
      </c>
      <c r="T25" s="31">
        <v>849</v>
      </c>
      <c r="U25" s="31">
        <v>936</v>
      </c>
      <c r="V25" s="31">
        <v>924</v>
      </c>
      <c r="W25" s="32">
        <v>1002</v>
      </c>
      <c r="X25" s="30">
        <v>969</v>
      </c>
      <c r="Y25" s="31">
        <v>962</v>
      </c>
      <c r="Z25" s="31">
        <v>944</v>
      </c>
      <c r="AA25" s="31">
        <v>957</v>
      </c>
      <c r="AB25" s="31">
        <v>851</v>
      </c>
      <c r="AC25" s="31">
        <v>811</v>
      </c>
      <c r="AD25" s="31">
        <v>830</v>
      </c>
      <c r="AE25" s="31">
        <v>864</v>
      </c>
      <c r="AF25" s="31">
        <v>835</v>
      </c>
      <c r="AG25" s="32">
        <v>911</v>
      </c>
      <c r="AH25" s="30">
        <v>861</v>
      </c>
      <c r="AI25" s="31">
        <v>889</v>
      </c>
      <c r="AJ25" s="31">
        <v>818</v>
      </c>
      <c r="AK25" s="31">
        <v>821</v>
      </c>
      <c r="AL25" s="31">
        <v>864</v>
      </c>
      <c r="AM25" s="31">
        <v>900</v>
      </c>
      <c r="AN25" s="31">
        <v>892</v>
      </c>
      <c r="AO25" s="31">
        <v>881</v>
      </c>
      <c r="AP25" s="31">
        <v>917</v>
      </c>
      <c r="AQ25" s="32">
        <v>932</v>
      </c>
      <c r="AR25" s="30">
        <v>880</v>
      </c>
      <c r="AS25" s="31">
        <v>841</v>
      </c>
      <c r="AT25" s="31">
        <v>896</v>
      </c>
      <c r="AU25" s="31">
        <v>820</v>
      </c>
      <c r="AV25" s="31">
        <v>887</v>
      </c>
      <c r="AW25" s="31">
        <v>869</v>
      </c>
      <c r="AX25" s="31">
        <v>944</v>
      </c>
      <c r="AY25" s="31">
        <v>929</v>
      </c>
      <c r="AZ25" s="31">
        <v>978</v>
      </c>
      <c r="BA25" s="32">
        <v>958</v>
      </c>
      <c r="BB25" s="30">
        <v>946</v>
      </c>
      <c r="BC25" s="31">
        <v>869</v>
      </c>
      <c r="BD25" s="5">
        <v>857</v>
      </c>
      <c r="BE25" s="5">
        <v>845</v>
      </c>
      <c r="BF25" s="5">
        <v>871</v>
      </c>
      <c r="BG25" s="88">
        <v>907</v>
      </c>
      <c r="BH25" s="88">
        <v>959</v>
      </c>
      <c r="BI25" s="88">
        <v>866</v>
      </c>
      <c r="BJ25" s="88">
        <v>897</v>
      </c>
      <c r="BK25" s="89">
        <v>952</v>
      </c>
      <c r="BL25" s="126">
        <v>865</v>
      </c>
      <c r="BM25" s="5">
        <v>913</v>
      </c>
      <c r="BN25" s="5">
        <v>969</v>
      </c>
      <c r="BO25" s="5">
        <v>924</v>
      </c>
      <c r="BP25" s="5">
        <v>979</v>
      </c>
      <c r="BQ25" s="123">
        <v>1003</v>
      </c>
    </row>
    <row r="26" spans="1:69" x14ac:dyDescent="0.2">
      <c r="A26" s="20" t="s">
        <v>44</v>
      </c>
      <c r="B26" s="21" t="s">
        <v>45</v>
      </c>
      <c r="C26" s="25" t="s">
        <v>2</v>
      </c>
      <c r="D26" s="30">
        <v>199</v>
      </c>
      <c r="E26" s="31">
        <v>207</v>
      </c>
      <c r="F26" s="31">
        <v>170</v>
      </c>
      <c r="G26" s="31">
        <v>174</v>
      </c>
      <c r="H26" s="31">
        <v>135</v>
      </c>
      <c r="I26" s="31">
        <v>127</v>
      </c>
      <c r="J26" s="31">
        <v>118</v>
      </c>
      <c r="K26" s="31">
        <v>119</v>
      </c>
      <c r="L26" s="31">
        <v>142</v>
      </c>
      <c r="M26" s="32">
        <v>117</v>
      </c>
      <c r="N26" s="30">
        <v>118</v>
      </c>
      <c r="O26" s="31">
        <v>119</v>
      </c>
      <c r="P26" s="31">
        <v>108</v>
      </c>
      <c r="Q26" s="31">
        <v>105</v>
      </c>
      <c r="R26" s="31">
        <v>127</v>
      </c>
      <c r="S26" s="31">
        <v>133</v>
      </c>
      <c r="T26" s="31">
        <v>140</v>
      </c>
      <c r="U26" s="31">
        <v>122</v>
      </c>
      <c r="V26" s="31">
        <v>126</v>
      </c>
      <c r="W26" s="32">
        <v>144</v>
      </c>
      <c r="X26" s="30">
        <v>135</v>
      </c>
      <c r="Y26" s="31">
        <v>132</v>
      </c>
      <c r="Z26" s="31">
        <v>141</v>
      </c>
      <c r="AA26" s="31">
        <v>135</v>
      </c>
      <c r="AB26" s="31">
        <v>123</v>
      </c>
      <c r="AC26" s="31">
        <v>135</v>
      </c>
      <c r="AD26" s="31">
        <v>122</v>
      </c>
      <c r="AE26" s="31">
        <v>108</v>
      </c>
      <c r="AF26" s="31">
        <v>93</v>
      </c>
      <c r="AG26" s="32">
        <v>100</v>
      </c>
      <c r="AH26" s="30">
        <v>82</v>
      </c>
      <c r="AI26" s="31">
        <v>98</v>
      </c>
      <c r="AJ26" s="31">
        <v>95</v>
      </c>
      <c r="AK26" s="31">
        <v>124</v>
      </c>
      <c r="AL26" s="31">
        <v>90</v>
      </c>
      <c r="AM26" s="31">
        <v>92</v>
      </c>
      <c r="AN26" s="31">
        <v>106</v>
      </c>
      <c r="AO26" s="31">
        <v>124</v>
      </c>
      <c r="AP26" s="31">
        <v>114</v>
      </c>
      <c r="AQ26" s="32">
        <v>110</v>
      </c>
      <c r="AR26" s="30">
        <v>102</v>
      </c>
      <c r="AS26" s="31">
        <v>89</v>
      </c>
      <c r="AT26" s="31">
        <v>83</v>
      </c>
      <c r="AU26" s="31">
        <v>85</v>
      </c>
      <c r="AV26" s="31">
        <v>103</v>
      </c>
      <c r="AW26" s="31">
        <v>91</v>
      </c>
      <c r="AX26" s="31">
        <v>116</v>
      </c>
      <c r="AY26" s="31">
        <v>102</v>
      </c>
      <c r="AZ26" s="31">
        <v>99</v>
      </c>
      <c r="BA26" s="32">
        <v>91</v>
      </c>
      <c r="BB26" s="30">
        <v>102</v>
      </c>
      <c r="BC26" s="31">
        <v>100</v>
      </c>
      <c r="BD26" s="5">
        <v>92</v>
      </c>
      <c r="BE26" s="5">
        <v>101</v>
      </c>
      <c r="BF26" s="5">
        <v>95</v>
      </c>
      <c r="BG26" s="88">
        <v>105</v>
      </c>
      <c r="BH26" s="88">
        <v>101</v>
      </c>
      <c r="BI26" s="88">
        <v>108</v>
      </c>
      <c r="BJ26" s="88">
        <v>99</v>
      </c>
      <c r="BK26" s="89">
        <v>86</v>
      </c>
      <c r="BL26" s="126">
        <v>113</v>
      </c>
      <c r="BM26" s="5">
        <v>100</v>
      </c>
      <c r="BN26" s="5">
        <v>110</v>
      </c>
      <c r="BO26" s="5">
        <v>137</v>
      </c>
      <c r="BP26" s="5">
        <v>110</v>
      </c>
      <c r="BQ26" s="123">
        <v>118</v>
      </c>
    </row>
    <row r="27" spans="1:69" x14ac:dyDescent="0.2">
      <c r="A27" s="20" t="s">
        <v>46</v>
      </c>
      <c r="B27" s="21" t="s">
        <v>47</v>
      </c>
      <c r="C27" s="25"/>
      <c r="D27" s="30">
        <v>339</v>
      </c>
      <c r="E27" s="31">
        <v>306</v>
      </c>
      <c r="F27" s="31">
        <v>299</v>
      </c>
      <c r="G27" s="31">
        <v>277</v>
      </c>
      <c r="H27" s="31">
        <v>298</v>
      </c>
      <c r="I27" s="31">
        <v>288</v>
      </c>
      <c r="J27" s="31">
        <v>230</v>
      </c>
      <c r="K27" s="31">
        <v>273</v>
      </c>
      <c r="L27" s="31">
        <v>275</v>
      </c>
      <c r="M27" s="32">
        <v>353</v>
      </c>
      <c r="N27" s="30">
        <v>324</v>
      </c>
      <c r="O27" s="31">
        <v>309</v>
      </c>
      <c r="P27" s="31">
        <v>292</v>
      </c>
      <c r="Q27" s="31">
        <v>291</v>
      </c>
      <c r="R27" s="31">
        <v>298</v>
      </c>
      <c r="S27" s="31">
        <v>299</v>
      </c>
      <c r="T27" s="31">
        <v>360</v>
      </c>
      <c r="U27" s="31">
        <v>358</v>
      </c>
      <c r="V27" s="31">
        <v>431</v>
      </c>
      <c r="W27" s="32">
        <v>507</v>
      </c>
      <c r="X27" s="30">
        <v>475</v>
      </c>
      <c r="Y27" s="31">
        <v>524</v>
      </c>
      <c r="Z27" s="31">
        <v>491</v>
      </c>
      <c r="AA27" s="31">
        <v>499</v>
      </c>
      <c r="AB27" s="31">
        <v>533</v>
      </c>
      <c r="AC27" s="31">
        <v>499</v>
      </c>
      <c r="AD27" s="31">
        <v>448</v>
      </c>
      <c r="AE27" s="31">
        <v>464</v>
      </c>
      <c r="AF27" s="31">
        <v>466</v>
      </c>
      <c r="AG27" s="32">
        <v>456</v>
      </c>
      <c r="AH27" s="30">
        <v>504</v>
      </c>
      <c r="AI27" s="31">
        <v>499</v>
      </c>
      <c r="AJ27" s="31">
        <v>506</v>
      </c>
      <c r="AK27" s="31">
        <v>487</v>
      </c>
      <c r="AL27" s="31">
        <v>561</v>
      </c>
      <c r="AM27" s="31">
        <v>542</v>
      </c>
      <c r="AN27" s="31">
        <v>549</v>
      </c>
      <c r="AO27" s="31">
        <v>522</v>
      </c>
      <c r="AP27" s="31">
        <v>549</v>
      </c>
      <c r="AQ27" s="32">
        <v>566</v>
      </c>
      <c r="AR27" s="30">
        <v>541</v>
      </c>
      <c r="AS27" s="31">
        <v>557</v>
      </c>
      <c r="AT27" s="31">
        <v>537</v>
      </c>
      <c r="AU27" s="31">
        <v>571</v>
      </c>
      <c r="AV27" s="31">
        <v>571</v>
      </c>
      <c r="AW27" s="31">
        <v>620</v>
      </c>
      <c r="AX27" s="31">
        <v>622</v>
      </c>
      <c r="AY27" s="31">
        <v>655</v>
      </c>
      <c r="AZ27" s="31">
        <v>650</v>
      </c>
      <c r="BA27" s="32">
        <v>683</v>
      </c>
      <c r="BB27" s="30">
        <v>601</v>
      </c>
      <c r="BC27" s="31">
        <v>644</v>
      </c>
      <c r="BD27" s="5">
        <v>689</v>
      </c>
      <c r="BE27" s="5">
        <v>608</v>
      </c>
      <c r="BF27" s="5">
        <v>595</v>
      </c>
      <c r="BG27" s="88">
        <v>638</v>
      </c>
      <c r="BH27" s="88">
        <v>659</v>
      </c>
      <c r="BI27" s="88">
        <v>640</v>
      </c>
      <c r="BJ27" s="88">
        <v>613</v>
      </c>
      <c r="BK27" s="89">
        <v>670</v>
      </c>
      <c r="BL27" s="126">
        <v>633</v>
      </c>
      <c r="BM27" s="5">
        <v>629</v>
      </c>
      <c r="BN27" s="5">
        <v>658</v>
      </c>
      <c r="BO27" s="5">
        <v>662</v>
      </c>
      <c r="BP27" s="5">
        <v>640</v>
      </c>
      <c r="BQ27" s="123">
        <v>644</v>
      </c>
    </row>
    <row r="28" spans="1:69" x14ac:dyDescent="0.2">
      <c r="A28" s="20" t="s">
        <v>48</v>
      </c>
      <c r="B28" s="21" t="s">
        <v>49</v>
      </c>
      <c r="C28" s="25" t="s">
        <v>2</v>
      </c>
      <c r="D28" s="30">
        <v>582</v>
      </c>
      <c r="E28" s="31">
        <v>519</v>
      </c>
      <c r="F28" s="31">
        <v>461</v>
      </c>
      <c r="G28" s="31">
        <v>476</v>
      </c>
      <c r="H28" s="31">
        <v>430</v>
      </c>
      <c r="I28" s="31">
        <v>399</v>
      </c>
      <c r="J28" s="31">
        <v>372</v>
      </c>
      <c r="K28" s="31">
        <v>375</v>
      </c>
      <c r="L28" s="31">
        <v>375</v>
      </c>
      <c r="M28" s="32">
        <v>420</v>
      </c>
      <c r="N28" s="30">
        <v>423</v>
      </c>
      <c r="O28" s="31">
        <v>465</v>
      </c>
      <c r="P28" s="31">
        <v>418</v>
      </c>
      <c r="Q28" s="31">
        <v>414</v>
      </c>
      <c r="R28" s="31">
        <v>447</v>
      </c>
      <c r="S28" s="31">
        <v>429</v>
      </c>
      <c r="T28" s="31">
        <v>450</v>
      </c>
      <c r="U28" s="31">
        <v>504</v>
      </c>
      <c r="V28" s="31">
        <v>518</v>
      </c>
      <c r="W28" s="32">
        <v>563</v>
      </c>
      <c r="X28" s="30">
        <v>614</v>
      </c>
      <c r="Y28" s="31">
        <v>634</v>
      </c>
      <c r="Z28" s="31">
        <v>624</v>
      </c>
      <c r="AA28" s="31">
        <v>614</v>
      </c>
      <c r="AB28" s="31">
        <v>579</v>
      </c>
      <c r="AC28" s="31">
        <v>524</v>
      </c>
      <c r="AD28" s="31">
        <v>537</v>
      </c>
      <c r="AE28" s="31">
        <v>525</v>
      </c>
      <c r="AF28" s="31">
        <v>563</v>
      </c>
      <c r="AG28" s="32">
        <v>523</v>
      </c>
      <c r="AH28" s="30">
        <v>546</v>
      </c>
      <c r="AI28" s="31">
        <v>576</v>
      </c>
      <c r="AJ28" s="31">
        <v>553</v>
      </c>
      <c r="AK28" s="31">
        <v>580</v>
      </c>
      <c r="AL28" s="31">
        <v>552</v>
      </c>
      <c r="AM28" s="31">
        <v>538</v>
      </c>
      <c r="AN28" s="31">
        <v>561</v>
      </c>
      <c r="AO28" s="31">
        <v>537</v>
      </c>
      <c r="AP28" s="31">
        <v>531</v>
      </c>
      <c r="AQ28" s="32">
        <v>569</v>
      </c>
      <c r="AR28" s="30">
        <v>495</v>
      </c>
      <c r="AS28" s="31">
        <v>514</v>
      </c>
      <c r="AT28" s="31">
        <v>446</v>
      </c>
      <c r="AU28" s="31">
        <v>506</v>
      </c>
      <c r="AV28" s="31">
        <v>527</v>
      </c>
      <c r="AW28" s="31">
        <v>526</v>
      </c>
      <c r="AX28" s="31">
        <v>591</v>
      </c>
      <c r="AY28" s="31">
        <v>567</v>
      </c>
      <c r="AZ28" s="31">
        <v>551</v>
      </c>
      <c r="BA28" s="32">
        <v>609</v>
      </c>
      <c r="BB28" s="30">
        <v>577</v>
      </c>
      <c r="BC28" s="31">
        <v>565</v>
      </c>
      <c r="BD28" s="5">
        <v>530</v>
      </c>
      <c r="BE28" s="5">
        <v>507</v>
      </c>
      <c r="BF28" s="5">
        <v>503</v>
      </c>
      <c r="BG28" s="88">
        <v>488</v>
      </c>
      <c r="BH28" s="88">
        <v>505</v>
      </c>
      <c r="BI28" s="88">
        <v>498</v>
      </c>
      <c r="BJ28" s="88">
        <v>460</v>
      </c>
      <c r="BK28" s="89">
        <v>472</v>
      </c>
      <c r="BL28" s="126">
        <v>420</v>
      </c>
      <c r="BM28" s="5">
        <v>422</v>
      </c>
      <c r="BN28" s="5">
        <v>478</v>
      </c>
      <c r="BO28" s="5">
        <v>391</v>
      </c>
      <c r="BP28" s="5">
        <v>389</v>
      </c>
      <c r="BQ28" s="123">
        <v>402</v>
      </c>
    </row>
    <row r="29" spans="1:69" x14ac:dyDescent="0.2">
      <c r="A29" s="20" t="s">
        <v>35</v>
      </c>
      <c r="B29" s="21" t="s">
        <v>50</v>
      </c>
      <c r="C29" s="25" t="s">
        <v>2</v>
      </c>
      <c r="D29" s="30">
        <v>243</v>
      </c>
      <c r="E29" s="31">
        <v>190</v>
      </c>
      <c r="F29" s="31">
        <v>248</v>
      </c>
      <c r="G29" s="31">
        <v>172</v>
      </c>
      <c r="H29" s="31">
        <v>212</v>
      </c>
      <c r="I29" s="31">
        <v>247</v>
      </c>
      <c r="J29" s="31">
        <v>200</v>
      </c>
      <c r="K29" s="31">
        <v>230</v>
      </c>
      <c r="L29" s="31">
        <v>217</v>
      </c>
      <c r="M29" s="32">
        <v>225</v>
      </c>
      <c r="N29" s="30">
        <v>255</v>
      </c>
      <c r="O29" s="31">
        <v>200</v>
      </c>
      <c r="P29" s="31">
        <v>179</v>
      </c>
      <c r="Q29" s="31">
        <v>205</v>
      </c>
      <c r="R29" s="31">
        <v>219</v>
      </c>
      <c r="S29" s="31">
        <v>235</v>
      </c>
      <c r="T29" s="31">
        <v>234</v>
      </c>
      <c r="U29" s="31">
        <v>253</v>
      </c>
      <c r="V29" s="31">
        <v>264</v>
      </c>
      <c r="W29" s="32">
        <v>264</v>
      </c>
      <c r="X29" s="30">
        <v>271</v>
      </c>
      <c r="Y29" s="31">
        <v>273</v>
      </c>
      <c r="Z29" s="31">
        <v>242</v>
      </c>
      <c r="AA29" s="31">
        <v>248</v>
      </c>
      <c r="AB29" s="31">
        <v>243</v>
      </c>
      <c r="AC29" s="31">
        <v>243</v>
      </c>
      <c r="AD29" s="31">
        <v>211</v>
      </c>
      <c r="AE29" s="31">
        <v>241</v>
      </c>
      <c r="AF29" s="31">
        <v>251</v>
      </c>
      <c r="AG29" s="32">
        <v>223</v>
      </c>
      <c r="AH29" s="30">
        <v>229</v>
      </c>
      <c r="AI29" s="31">
        <v>204</v>
      </c>
      <c r="AJ29" s="31">
        <v>234</v>
      </c>
      <c r="AK29" s="31">
        <v>236</v>
      </c>
      <c r="AL29" s="31">
        <v>204</v>
      </c>
      <c r="AM29" s="31">
        <v>221</v>
      </c>
      <c r="AN29" s="31">
        <v>221</v>
      </c>
      <c r="AO29" s="31">
        <v>213</v>
      </c>
      <c r="AP29" s="31">
        <v>194</v>
      </c>
      <c r="AQ29" s="32">
        <v>170</v>
      </c>
      <c r="AR29" s="30">
        <v>205</v>
      </c>
      <c r="AS29" s="31">
        <v>191</v>
      </c>
      <c r="AT29" s="31">
        <v>165</v>
      </c>
      <c r="AU29" s="31">
        <v>196</v>
      </c>
      <c r="AV29" s="31">
        <v>209</v>
      </c>
      <c r="AW29" s="31">
        <v>222</v>
      </c>
      <c r="AX29" s="31">
        <v>186</v>
      </c>
      <c r="AY29" s="31">
        <v>235</v>
      </c>
      <c r="AZ29" s="31">
        <v>199</v>
      </c>
      <c r="BA29" s="32">
        <v>186</v>
      </c>
      <c r="BB29" s="30">
        <v>194</v>
      </c>
      <c r="BC29" s="31">
        <v>212</v>
      </c>
      <c r="BD29" s="5">
        <v>190</v>
      </c>
      <c r="BE29" s="5">
        <v>176</v>
      </c>
      <c r="BF29" s="5">
        <v>200</v>
      </c>
      <c r="BG29" s="88">
        <v>195</v>
      </c>
      <c r="BH29" s="88">
        <v>215</v>
      </c>
      <c r="BI29" s="88">
        <v>172</v>
      </c>
      <c r="BJ29" s="88">
        <v>163</v>
      </c>
      <c r="BK29" s="89">
        <v>160</v>
      </c>
      <c r="BL29" s="126">
        <v>170</v>
      </c>
      <c r="BM29" s="5">
        <v>151</v>
      </c>
      <c r="BN29" s="5">
        <v>142</v>
      </c>
      <c r="BO29" s="5">
        <v>154</v>
      </c>
      <c r="BP29" s="5">
        <v>172</v>
      </c>
      <c r="BQ29" s="123">
        <v>155</v>
      </c>
    </row>
    <row r="30" spans="1:69" x14ac:dyDescent="0.2">
      <c r="A30" s="20" t="s">
        <v>51</v>
      </c>
      <c r="B30" s="21" t="s">
        <v>52</v>
      </c>
      <c r="C30" s="25" t="s">
        <v>2</v>
      </c>
      <c r="D30" s="30">
        <v>149</v>
      </c>
      <c r="E30" s="31">
        <v>135</v>
      </c>
      <c r="F30" s="31">
        <v>138</v>
      </c>
      <c r="G30" s="31">
        <v>131</v>
      </c>
      <c r="H30" s="31">
        <v>137</v>
      </c>
      <c r="I30" s="31">
        <v>159</v>
      </c>
      <c r="J30" s="31">
        <v>127</v>
      </c>
      <c r="K30" s="31">
        <v>102</v>
      </c>
      <c r="L30" s="31">
        <v>80</v>
      </c>
      <c r="M30" s="32">
        <v>89</v>
      </c>
      <c r="N30" s="30">
        <v>116</v>
      </c>
      <c r="O30" s="31">
        <v>112</v>
      </c>
      <c r="P30" s="31">
        <v>110</v>
      </c>
      <c r="Q30" s="31">
        <v>128</v>
      </c>
      <c r="R30" s="31">
        <v>112</v>
      </c>
      <c r="S30" s="31">
        <v>127</v>
      </c>
      <c r="T30" s="31">
        <v>132</v>
      </c>
      <c r="U30" s="31">
        <v>139</v>
      </c>
      <c r="V30" s="31">
        <v>154</v>
      </c>
      <c r="W30" s="32">
        <v>172</v>
      </c>
      <c r="X30" s="30">
        <v>158</v>
      </c>
      <c r="Y30" s="31">
        <v>143</v>
      </c>
      <c r="Z30" s="31">
        <v>142</v>
      </c>
      <c r="AA30" s="31">
        <v>119</v>
      </c>
      <c r="AB30" s="31">
        <v>123</v>
      </c>
      <c r="AC30" s="31">
        <v>139</v>
      </c>
      <c r="AD30" s="31">
        <v>118</v>
      </c>
      <c r="AE30" s="31">
        <v>113</v>
      </c>
      <c r="AF30" s="31">
        <v>138</v>
      </c>
      <c r="AG30" s="32">
        <v>145</v>
      </c>
      <c r="AH30" s="30">
        <v>133</v>
      </c>
      <c r="AI30" s="31">
        <v>135</v>
      </c>
      <c r="AJ30" s="31">
        <v>140</v>
      </c>
      <c r="AK30" s="31">
        <v>148</v>
      </c>
      <c r="AL30" s="31">
        <v>145</v>
      </c>
      <c r="AM30" s="31">
        <v>148</v>
      </c>
      <c r="AN30" s="31">
        <v>115</v>
      </c>
      <c r="AO30" s="31">
        <v>121</v>
      </c>
      <c r="AP30" s="31">
        <v>135</v>
      </c>
      <c r="AQ30" s="32">
        <v>131</v>
      </c>
      <c r="AR30" s="30">
        <v>109</v>
      </c>
      <c r="AS30" s="31">
        <v>130</v>
      </c>
      <c r="AT30" s="31">
        <v>108</v>
      </c>
      <c r="AU30" s="31">
        <v>115</v>
      </c>
      <c r="AV30" s="31">
        <v>110</v>
      </c>
      <c r="AW30" s="31">
        <v>127</v>
      </c>
      <c r="AX30" s="31">
        <v>138</v>
      </c>
      <c r="AY30" s="31">
        <v>146</v>
      </c>
      <c r="AZ30" s="31">
        <v>129</v>
      </c>
      <c r="BA30" s="32">
        <v>148</v>
      </c>
      <c r="BB30" s="30">
        <v>115</v>
      </c>
      <c r="BC30" s="31">
        <v>92</v>
      </c>
      <c r="BD30" s="5">
        <v>124</v>
      </c>
      <c r="BE30" s="5">
        <v>109</v>
      </c>
      <c r="BF30" s="5">
        <v>125</v>
      </c>
      <c r="BG30" s="88">
        <v>123</v>
      </c>
      <c r="BH30" s="88">
        <v>121</v>
      </c>
      <c r="BI30" s="88">
        <v>120</v>
      </c>
      <c r="BJ30" s="88">
        <v>116</v>
      </c>
      <c r="BK30" s="89">
        <v>127</v>
      </c>
      <c r="BL30" s="126">
        <v>108</v>
      </c>
      <c r="BM30" s="5">
        <v>119</v>
      </c>
      <c r="BN30" s="5">
        <v>102</v>
      </c>
      <c r="BO30" s="5">
        <v>117</v>
      </c>
      <c r="BP30" s="5">
        <v>128</v>
      </c>
      <c r="BQ30" s="123">
        <v>140</v>
      </c>
    </row>
    <row r="31" spans="1:69" x14ac:dyDescent="0.2">
      <c r="A31" s="20" t="s">
        <v>53</v>
      </c>
      <c r="B31" s="21" t="s">
        <v>54</v>
      </c>
      <c r="C31" s="25" t="s">
        <v>2</v>
      </c>
      <c r="D31" s="30">
        <v>8043</v>
      </c>
      <c r="E31" s="31">
        <v>8228</v>
      </c>
      <c r="F31" s="31">
        <v>8082</v>
      </c>
      <c r="G31" s="31">
        <v>7809</v>
      </c>
      <c r="H31" s="31">
        <v>7423</v>
      </c>
      <c r="I31" s="31">
        <v>6693</v>
      </c>
      <c r="J31" s="31">
        <v>6746</v>
      </c>
      <c r="K31" s="31">
        <v>7123</v>
      </c>
      <c r="L31" s="31">
        <v>7628</v>
      </c>
      <c r="M31" s="32">
        <v>7699</v>
      </c>
      <c r="N31" s="30">
        <v>7876</v>
      </c>
      <c r="O31" s="31">
        <v>6887</v>
      </c>
      <c r="P31" s="31">
        <v>5958</v>
      </c>
      <c r="Q31" s="31">
        <v>6548</v>
      </c>
      <c r="R31" s="31">
        <v>6876</v>
      </c>
      <c r="S31" s="31">
        <v>7084</v>
      </c>
      <c r="T31" s="31">
        <v>7563</v>
      </c>
      <c r="U31" s="31">
        <v>7738</v>
      </c>
      <c r="V31" s="31">
        <v>8199</v>
      </c>
      <c r="W31" s="32">
        <v>8756</v>
      </c>
      <c r="X31" s="30">
        <v>9144</v>
      </c>
      <c r="Y31" s="31">
        <v>9461</v>
      </c>
      <c r="Z31" s="31">
        <v>9485</v>
      </c>
      <c r="AA31" s="31">
        <v>9167</v>
      </c>
      <c r="AB31" s="31">
        <v>9348</v>
      </c>
      <c r="AC31" s="31">
        <v>9543</v>
      </c>
      <c r="AD31" s="31">
        <v>9558</v>
      </c>
      <c r="AE31" s="31">
        <v>9781</v>
      </c>
      <c r="AF31" s="31">
        <v>9817</v>
      </c>
      <c r="AG31" s="32">
        <v>10123</v>
      </c>
      <c r="AH31" s="30">
        <v>10505</v>
      </c>
      <c r="AI31" s="31">
        <v>10460</v>
      </c>
      <c r="AJ31" s="31">
        <v>10402</v>
      </c>
      <c r="AK31" s="31">
        <v>10018</v>
      </c>
      <c r="AL31" s="31">
        <v>9666</v>
      </c>
      <c r="AM31" s="31">
        <v>9439</v>
      </c>
      <c r="AN31" s="31">
        <v>9624</v>
      </c>
      <c r="AO31" s="31">
        <v>9728</v>
      </c>
      <c r="AP31" s="31">
        <v>9918</v>
      </c>
      <c r="AQ31" s="32">
        <v>9941</v>
      </c>
      <c r="AR31" s="30">
        <v>10186</v>
      </c>
      <c r="AS31" s="31">
        <v>10087</v>
      </c>
      <c r="AT31" s="31">
        <v>10025</v>
      </c>
      <c r="AU31" s="31">
        <v>10155</v>
      </c>
      <c r="AV31" s="31">
        <v>10248</v>
      </c>
      <c r="AW31" s="31">
        <v>10552</v>
      </c>
      <c r="AX31" s="31">
        <v>11303</v>
      </c>
      <c r="AY31" s="31">
        <v>11330</v>
      </c>
      <c r="AZ31" s="31">
        <v>11654</v>
      </c>
      <c r="BA31" s="32">
        <v>11442</v>
      </c>
      <c r="BB31" s="30">
        <v>10594</v>
      </c>
      <c r="BC31" s="31">
        <v>11536</v>
      </c>
      <c r="BD31" s="5">
        <v>10995</v>
      </c>
      <c r="BE31" s="5">
        <v>11313</v>
      </c>
      <c r="BF31" s="5">
        <v>11588</v>
      </c>
      <c r="BG31" s="88">
        <v>11663</v>
      </c>
      <c r="BH31" s="88">
        <v>11730</v>
      </c>
      <c r="BI31" s="88">
        <v>11380</v>
      </c>
      <c r="BJ31" s="88">
        <v>11271</v>
      </c>
      <c r="BK31" s="89">
        <v>11113</v>
      </c>
      <c r="BL31" s="126">
        <v>11021</v>
      </c>
      <c r="BM31" s="5">
        <v>11027</v>
      </c>
      <c r="BN31" s="5">
        <v>10983</v>
      </c>
      <c r="BO31" s="5">
        <v>10395</v>
      </c>
      <c r="BP31" s="5">
        <v>10549</v>
      </c>
      <c r="BQ31" s="123">
        <v>10510</v>
      </c>
    </row>
    <row r="32" spans="1:69" x14ac:dyDescent="0.2">
      <c r="A32" s="20" t="s">
        <v>55</v>
      </c>
      <c r="B32" s="21" t="s">
        <v>56</v>
      </c>
      <c r="C32" s="25"/>
      <c r="D32" s="30">
        <v>35</v>
      </c>
      <c r="E32" s="31">
        <v>39</v>
      </c>
      <c r="F32" s="31">
        <v>35</v>
      </c>
      <c r="G32" s="31">
        <v>42</v>
      </c>
      <c r="H32" s="31">
        <v>36</v>
      </c>
      <c r="I32" s="31">
        <v>37</v>
      </c>
      <c r="J32" s="31">
        <v>35</v>
      </c>
      <c r="K32" s="31">
        <v>25</v>
      </c>
      <c r="L32" s="31">
        <v>29</v>
      </c>
      <c r="M32" s="32">
        <v>38</v>
      </c>
      <c r="N32" s="30">
        <v>32</v>
      </c>
      <c r="O32" s="31">
        <v>43</v>
      </c>
      <c r="P32" s="31">
        <v>47</v>
      </c>
      <c r="Q32" s="31">
        <v>42</v>
      </c>
      <c r="R32" s="31">
        <v>41</v>
      </c>
      <c r="S32" s="31">
        <v>61</v>
      </c>
      <c r="T32" s="31">
        <v>40</v>
      </c>
      <c r="U32" s="31">
        <v>78</v>
      </c>
      <c r="V32" s="31">
        <v>92</v>
      </c>
      <c r="W32" s="32">
        <v>80</v>
      </c>
      <c r="X32" s="30">
        <v>105</v>
      </c>
      <c r="Y32" s="31">
        <v>101</v>
      </c>
      <c r="Z32" s="31">
        <v>80</v>
      </c>
      <c r="AA32" s="31">
        <v>124</v>
      </c>
      <c r="AB32" s="31">
        <v>85</v>
      </c>
      <c r="AC32" s="31">
        <v>119</v>
      </c>
      <c r="AD32" s="31">
        <v>110</v>
      </c>
      <c r="AE32" s="31">
        <v>107</v>
      </c>
      <c r="AF32" s="31">
        <v>111</v>
      </c>
      <c r="AG32" s="32">
        <v>107</v>
      </c>
      <c r="AH32" s="30">
        <v>102</v>
      </c>
      <c r="AI32" s="31">
        <v>109</v>
      </c>
      <c r="AJ32" s="31">
        <v>106</v>
      </c>
      <c r="AK32" s="31">
        <v>103</v>
      </c>
      <c r="AL32" s="31">
        <v>113</v>
      </c>
      <c r="AM32" s="31">
        <v>105</v>
      </c>
      <c r="AN32" s="31">
        <v>94</v>
      </c>
      <c r="AO32" s="31">
        <v>114</v>
      </c>
      <c r="AP32" s="31">
        <v>107</v>
      </c>
      <c r="AQ32" s="32">
        <v>86</v>
      </c>
      <c r="AR32" s="30">
        <v>101</v>
      </c>
      <c r="AS32" s="31">
        <v>110</v>
      </c>
      <c r="AT32" s="31">
        <v>86</v>
      </c>
      <c r="AU32" s="31">
        <v>88</v>
      </c>
      <c r="AV32" s="31">
        <v>101</v>
      </c>
      <c r="AW32" s="31">
        <v>105</v>
      </c>
      <c r="AX32" s="31">
        <v>91</v>
      </c>
      <c r="AY32" s="31">
        <v>120</v>
      </c>
      <c r="AZ32" s="31">
        <v>99</v>
      </c>
      <c r="BA32" s="32">
        <v>82</v>
      </c>
      <c r="BB32" s="30">
        <v>102</v>
      </c>
      <c r="BC32" s="31">
        <v>78</v>
      </c>
      <c r="BD32" s="5">
        <v>72</v>
      </c>
      <c r="BE32" s="5">
        <v>106</v>
      </c>
      <c r="BF32" s="5">
        <v>82</v>
      </c>
      <c r="BG32" s="88">
        <v>84</v>
      </c>
      <c r="BH32" s="88">
        <v>85</v>
      </c>
      <c r="BI32" s="88">
        <v>80</v>
      </c>
      <c r="BJ32" s="88">
        <v>87</v>
      </c>
      <c r="BK32" s="89">
        <v>108</v>
      </c>
      <c r="BL32" s="126">
        <v>98</v>
      </c>
      <c r="BM32" s="5">
        <v>101</v>
      </c>
      <c r="BN32" s="5">
        <v>107</v>
      </c>
      <c r="BO32" s="5">
        <v>89</v>
      </c>
      <c r="BP32" s="5">
        <v>100</v>
      </c>
      <c r="BQ32" s="123">
        <v>109</v>
      </c>
    </row>
    <row r="33" spans="1:69" x14ac:dyDescent="0.2">
      <c r="A33" s="20" t="s">
        <v>57</v>
      </c>
      <c r="B33" s="21" t="s">
        <v>58</v>
      </c>
      <c r="C33" s="25" t="s">
        <v>2</v>
      </c>
      <c r="D33" s="30">
        <v>1022</v>
      </c>
      <c r="E33" s="31">
        <v>982</v>
      </c>
      <c r="F33" s="31">
        <v>893</v>
      </c>
      <c r="G33" s="31">
        <v>891</v>
      </c>
      <c r="H33" s="31">
        <v>766</v>
      </c>
      <c r="I33" s="31">
        <v>725</v>
      </c>
      <c r="J33" s="31">
        <v>780</v>
      </c>
      <c r="K33" s="31">
        <v>745</v>
      </c>
      <c r="L33" s="31">
        <v>795</v>
      </c>
      <c r="M33" s="32">
        <v>855</v>
      </c>
      <c r="N33" s="30">
        <v>829</v>
      </c>
      <c r="O33" s="31">
        <v>852</v>
      </c>
      <c r="P33" s="31">
        <v>699</v>
      </c>
      <c r="Q33" s="31">
        <v>717</v>
      </c>
      <c r="R33" s="31">
        <v>803</v>
      </c>
      <c r="S33" s="31">
        <v>810</v>
      </c>
      <c r="T33" s="31">
        <v>820</v>
      </c>
      <c r="U33" s="31">
        <v>932</v>
      </c>
      <c r="V33" s="31">
        <v>898</v>
      </c>
      <c r="W33" s="32">
        <v>1026</v>
      </c>
      <c r="X33" s="30">
        <v>1052</v>
      </c>
      <c r="Y33" s="31">
        <v>1150</v>
      </c>
      <c r="Z33" s="31">
        <v>1086</v>
      </c>
      <c r="AA33" s="31">
        <v>1067</v>
      </c>
      <c r="AB33" s="31">
        <v>1097</v>
      </c>
      <c r="AC33" s="31">
        <v>1067</v>
      </c>
      <c r="AD33" s="31">
        <v>1016</v>
      </c>
      <c r="AE33" s="31">
        <v>1074</v>
      </c>
      <c r="AF33" s="31">
        <v>1156</v>
      </c>
      <c r="AG33" s="32">
        <v>1149</v>
      </c>
      <c r="AH33" s="30">
        <v>1222</v>
      </c>
      <c r="AI33" s="31">
        <v>1310</v>
      </c>
      <c r="AJ33" s="31">
        <v>1332</v>
      </c>
      <c r="AK33" s="31">
        <v>1251</v>
      </c>
      <c r="AL33" s="31">
        <v>1281</v>
      </c>
      <c r="AM33" s="31">
        <v>1318</v>
      </c>
      <c r="AN33" s="31">
        <v>1277</v>
      </c>
      <c r="AO33" s="31">
        <v>1339</v>
      </c>
      <c r="AP33" s="31">
        <v>1395</v>
      </c>
      <c r="AQ33" s="32">
        <v>1331</v>
      </c>
      <c r="AR33" s="30">
        <v>1413</v>
      </c>
      <c r="AS33" s="31">
        <v>1405</v>
      </c>
      <c r="AT33" s="31">
        <v>1336</v>
      </c>
      <c r="AU33" s="31">
        <v>1364</v>
      </c>
      <c r="AV33" s="31">
        <v>1444</v>
      </c>
      <c r="AW33" s="31">
        <v>1468</v>
      </c>
      <c r="AX33" s="31">
        <v>1517</v>
      </c>
      <c r="AY33" s="31">
        <v>1568</v>
      </c>
      <c r="AZ33" s="31">
        <v>1601</v>
      </c>
      <c r="BA33" s="32">
        <v>1498</v>
      </c>
      <c r="BB33" s="30">
        <v>1476</v>
      </c>
      <c r="BC33" s="31">
        <v>1463</v>
      </c>
      <c r="BD33" s="5">
        <v>1445</v>
      </c>
      <c r="BE33" s="5">
        <v>1453</v>
      </c>
      <c r="BF33" s="5">
        <v>1399</v>
      </c>
      <c r="BG33" s="88">
        <v>1486</v>
      </c>
      <c r="BH33" s="88">
        <v>1491</v>
      </c>
      <c r="BI33" s="88">
        <v>1405</v>
      </c>
      <c r="BJ33" s="88">
        <v>1378</v>
      </c>
      <c r="BK33" s="89">
        <v>1386</v>
      </c>
      <c r="BL33" s="126">
        <v>1366</v>
      </c>
      <c r="BM33" s="5">
        <v>1408</v>
      </c>
      <c r="BN33" s="5">
        <v>1381</v>
      </c>
      <c r="BO33" s="5">
        <v>1366</v>
      </c>
      <c r="BP33" s="5">
        <v>1317</v>
      </c>
      <c r="BQ33" s="123">
        <v>1293</v>
      </c>
    </row>
    <row r="34" spans="1:69" x14ac:dyDescent="0.2">
      <c r="A34" s="20" t="s">
        <v>59</v>
      </c>
      <c r="B34" s="21" t="s">
        <v>60</v>
      </c>
      <c r="C34" s="25" t="s">
        <v>2</v>
      </c>
      <c r="D34" s="30">
        <v>121</v>
      </c>
      <c r="E34" s="31">
        <v>122</v>
      </c>
      <c r="F34" s="31">
        <v>117</v>
      </c>
      <c r="G34" s="31">
        <v>94</v>
      </c>
      <c r="H34" s="31">
        <v>95</v>
      </c>
      <c r="I34" s="31">
        <v>105</v>
      </c>
      <c r="J34" s="31">
        <v>77</v>
      </c>
      <c r="K34" s="31">
        <v>74</v>
      </c>
      <c r="L34" s="31">
        <v>82</v>
      </c>
      <c r="M34" s="32">
        <v>91</v>
      </c>
      <c r="N34" s="30">
        <v>76</v>
      </c>
      <c r="O34" s="31">
        <v>88</v>
      </c>
      <c r="P34" s="31">
        <v>103</v>
      </c>
      <c r="Q34" s="31">
        <v>91</v>
      </c>
      <c r="R34" s="31">
        <v>83</v>
      </c>
      <c r="S34" s="31">
        <v>89</v>
      </c>
      <c r="T34" s="31">
        <v>107</v>
      </c>
      <c r="U34" s="31">
        <v>105</v>
      </c>
      <c r="V34" s="31">
        <v>116</v>
      </c>
      <c r="W34" s="32">
        <v>151</v>
      </c>
      <c r="X34" s="30">
        <v>140</v>
      </c>
      <c r="Y34" s="31">
        <v>129</v>
      </c>
      <c r="Z34" s="31">
        <v>104</v>
      </c>
      <c r="AA34" s="31">
        <v>122</v>
      </c>
      <c r="AB34" s="31">
        <v>111</v>
      </c>
      <c r="AC34" s="31">
        <v>89</v>
      </c>
      <c r="AD34" s="31">
        <v>112</v>
      </c>
      <c r="AE34" s="31">
        <v>117</v>
      </c>
      <c r="AF34" s="31">
        <v>106</v>
      </c>
      <c r="AG34" s="32">
        <v>120</v>
      </c>
      <c r="AH34" s="30">
        <v>91</v>
      </c>
      <c r="AI34" s="31">
        <v>104</v>
      </c>
      <c r="AJ34" s="31">
        <v>88</v>
      </c>
      <c r="AK34" s="31">
        <v>96</v>
      </c>
      <c r="AL34" s="31">
        <v>83</v>
      </c>
      <c r="AM34" s="31">
        <v>81</v>
      </c>
      <c r="AN34" s="31">
        <v>78</v>
      </c>
      <c r="AO34" s="31">
        <v>97</v>
      </c>
      <c r="AP34" s="31">
        <v>122</v>
      </c>
      <c r="AQ34" s="32">
        <v>124</v>
      </c>
      <c r="AR34" s="30">
        <v>107</v>
      </c>
      <c r="AS34" s="31">
        <v>111</v>
      </c>
      <c r="AT34" s="31">
        <v>103</v>
      </c>
      <c r="AU34" s="31">
        <v>107</v>
      </c>
      <c r="AV34" s="31">
        <v>87</v>
      </c>
      <c r="AW34" s="31">
        <v>99</v>
      </c>
      <c r="AX34" s="31">
        <v>114</v>
      </c>
      <c r="AY34" s="31">
        <v>120</v>
      </c>
      <c r="AZ34" s="31">
        <v>110</v>
      </c>
      <c r="BA34" s="32">
        <v>110</v>
      </c>
      <c r="BB34" s="30">
        <v>99</v>
      </c>
      <c r="BC34" s="31">
        <v>104</v>
      </c>
      <c r="BD34" s="5">
        <v>110</v>
      </c>
      <c r="BE34" s="5">
        <v>101</v>
      </c>
      <c r="BF34" s="5">
        <v>82</v>
      </c>
      <c r="BG34" s="88">
        <v>100</v>
      </c>
      <c r="BH34" s="88">
        <v>97</v>
      </c>
      <c r="BI34" s="88">
        <v>92</v>
      </c>
      <c r="BJ34" s="88">
        <v>103</v>
      </c>
      <c r="BK34" s="89">
        <v>83</v>
      </c>
      <c r="BL34" s="126">
        <v>93</v>
      </c>
      <c r="BM34" s="5">
        <v>87</v>
      </c>
      <c r="BN34" s="5">
        <v>94</v>
      </c>
      <c r="BO34" s="5">
        <v>80</v>
      </c>
      <c r="BP34" s="5">
        <v>75</v>
      </c>
      <c r="BQ34" s="123">
        <v>90</v>
      </c>
    </row>
    <row r="35" spans="1:69" x14ac:dyDescent="0.2">
      <c r="A35" s="20" t="s">
        <v>61</v>
      </c>
      <c r="B35" s="21" t="s">
        <v>62</v>
      </c>
      <c r="C35" s="25" t="s">
        <v>2</v>
      </c>
      <c r="D35" s="30">
        <v>4161</v>
      </c>
      <c r="E35" s="31">
        <v>4238</v>
      </c>
      <c r="F35" s="31">
        <v>4312</v>
      </c>
      <c r="G35" s="31">
        <v>4200</v>
      </c>
      <c r="H35" s="31">
        <v>4057</v>
      </c>
      <c r="I35" s="31">
        <v>3716</v>
      </c>
      <c r="J35" s="31">
        <v>3759</v>
      </c>
      <c r="K35" s="31">
        <v>4165</v>
      </c>
      <c r="L35" s="31">
        <v>4612</v>
      </c>
      <c r="M35" s="32">
        <v>5089</v>
      </c>
      <c r="N35" s="30">
        <v>5166</v>
      </c>
      <c r="O35" s="31">
        <v>4386</v>
      </c>
      <c r="P35" s="31">
        <v>3764</v>
      </c>
      <c r="Q35" s="31">
        <v>3861</v>
      </c>
      <c r="R35" s="31">
        <v>3946</v>
      </c>
      <c r="S35" s="31">
        <v>4012</v>
      </c>
      <c r="T35" s="31">
        <v>4118</v>
      </c>
      <c r="U35" s="31">
        <v>4501</v>
      </c>
      <c r="V35" s="31">
        <v>4664</v>
      </c>
      <c r="W35" s="32">
        <v>5316</v>
      </c>
      <c r="X35" s="30">
        <v>5740</v>
      </c>
      <c r="Y35" s="31">
        <v>6164</v>
      </c>
      <c r="Z35" s="31">
        <v>6102</v>
      </c>
      <c r="AA35" s="31">
        <v>6119</v>
      </c>
      <c r="AB35" s="31">
        <v>6351</v>
      </c>
      <c r="AC35" s="31">
        <v>6535</v>
      </c>
      <c r="AD35" s="31">
        <v>6648</v>
      </c>
      <c r="AE35" s="31">
        <v>6967</v>
      </c>
      <c r="AF35" s="31">
        <v>7490</v>
      </c>
      <c r="AG35" s="32">
        <v>8028</v>
      </c>
      <c r="AH35" s="30">
        <v>8160</v>
      </c>
      <c r="AI35" s="31">
        <v>8286</v>
      </c>
      <c r="AJ35" s="31">
        <v>8165</v>
      </c>
      <c r="AK35" s="31">
        <v>7967</v>
      </c>
      <c r="AL35" s="31">
        <v>7762</v>
      </c>
      <c r="AM35" s="31">
        <v>7685</v>
      </c>
      <c r="AN35" s="31">
        <v>7955</v>
      </c>
      <c r="AO35" s="31">
        <v>8242</v>
      </c>
      <c r="AP35" s="31">
        <v>8404</v>
      </c>
      <c r="AQ35" s="32">
        <v>8481</v>
      </c>
      <c r="AR35" s="30">
        <v>8607</v>
      </c>
      <c r="AS35" s="31">
        <v>8539</v>
      </c>
      <c r="AT35" s="31">
        <v>8452</v>
      </c>
      <c r="AU35" s="31">
        <v>8667</v>
      </c>
      <c r="AV35" s="31">
        <v>8669</v>
      </c>
      <c r="AW35" s="31">
        <v>8817</v>
      </c>
      <c r="AX35" s="31">
        <v>9290</v>
      </c>
      <c r="AY35" s="31">
        <v>9705</v>
      </c>
      <c r="AZ35" s="31">
        <v>9543</v>
      </c>
      <c r="BA35" s="32">
        <v>9242</v>
      </c>
      <c r="BB35" s="30">
        <v>8977</v>
      </c>
      <c r="BC35" s="31">
        <v>8952</v>
      </c>
      <c r="BD35" s="5">
        <v>9233</v>
      </c>
      <c r="BE35" s="5">
        <v>9463</v>
      </c>
      <c r="BF35" s="5">
        <v>9631</v>
      </c>
      <c r="BG35" s="88">
        <v>9898</v>
      </c>
      <c r="BH35" s="88">
        <v>9949</v>
      </c>
      <c r="BI35" s="88">
        <v>9769</v>
      </c>
      <c r="BJ35" s="88">
        <v>9869</v>
      </c>
      <c r="BK35" s="89">
        <v>9556</v>
      </c>
      <c r="BL35" s="126">
        <v>9314</v>
      </c>
      <c r="BM35" s="5">
        <v>9989</v>
      </c>
      <c r="BN35" s="5">
        <v>9789</v>
      </c>
      <c r="BO35" s="5">
        <v>9940</v>
      </c>
      <c r="BP35" s="5">
        <v>9875</v>
      </c>
      <c r="BQ35" s="123">
        <v>9789</v>
      </c>
    </row>
    <row r="36" spans="1:69" x14ac:dyDescent="0.2">
      <c r="A36" s="20" t="s">
        <v>63</v>
      </c>
      <c r="B36" s="21" t="s">
        <v>64</v>
      </c>
      <c r="C36" s="25" t="s">
        <v>2</v>
      </c>
      <c r="D36" s="30">
        <v>6641</v>
      </c>
      <c r="E36" s="31">
        <v>6107</v>
      </c>
      <c r="F36" s="31">
        <v>5859</v>
      </c>
      <c r="G36" s="31">
        <v>5483</v>
      </c>
      <c r="H36" s="31">
        <v>4941</v>
      </c>
      <c r="I36" s="31">
        <v>4561</v>
      </c>
      <c r="J36" s="31">
        <v>4432</v>
      </c>
      <c r="K36" s="31">
        <v>4367</v>
      </c>
      <c r="L36" s="31">
        <v>4634</v>
      </c>
      <c r="M36" s="32">
        <v>4989</v>
      </c>
      <c r="N36" s="30">
        <v>5364</v>
      </c>
      <c r="O36" s="31">
        <v>4940</v>
      </c>
      <c r="P36" s="31">
        <v>4596</v>
      </c>
      <c r="Q36" s="31">
        <v>4639</v>
      </c>
      <c r="R36" s="31">
        <v>4614</v>
      </c>
      <c r="S36" s="31">
        <v>4679</v>
      </c>
      <c r="T36" s="31">
        <v>4828</v>
      </c>
      <c r="U36" s="31">
        <v>4972</v>
      </c>
      <c r="V36" s="31">
        <v>5296</v>
      </c>
      <c r="W36" s="32">
        <v>5504</v>
      </c>
      <c r="X36" s="30">
        <v>5637</v>
      </c>
      <c r="Y36" s="31">
        <v>5681</v>
      </c>
      <c r="Z36" s="31">
        <v>5631</v>
      </c>
      <c r="AA36" s="31">
        <v>5556</v>
      </c>
      <c r="AB36" s="31">
        <v>5631</v>
      </c>
      <c r="AC36" s="31">
        <v>5559</v>
      </c>
      <c r="AD36" s="31">
        <v>5374</v>
      </c>
      <c r="AE36" s="31">
        <v>5341</v>
      </c>
      <c r="AF36" s="31">
        <v>5361</v>
      </c>
      <c r="AG36" s="32">
        <v>5440</v>
      </c>
      <c r="AH36" s="30">
        <v>5689</v>
      </c>
      <c r="AI36" s="31">
        <v>5823</v>
      </c>
      <c r="AJ36" s="31">
        <v>5655</v>
      </c>
      <c r="AK36" s="31">
        <v>5624</v>
      </c>
      <c r="AL36" s="31">
        <v>5430</v>
      </c>
      <c r="AM36" s="31">
        <v>5528</v>
      </c>
      <c r="AN36" s="31">
        <v>5553</v>
      </c>
      <c r="AO36" s="31">
        <v>5596</v>
      </c>
      <c r="AP36" s="31">
        <v>5520</v>
      </c>
      <c r="AQ36" s="32">
        <v>5533</v>
      </c>
      <c r="AR36" s="30">
        <v>5602</v>
      </c>
      <c r="AS36" s="31">
        <v>5446</v>
      </c>
      <c r="AT36" s="31">
        <v>5482</v>
      </c>
      <c r="AU36" s="31">
        <v>5440</v>
      </c>
      <c r="AV36" s="31">
        <v>5525</v>
      </c>
      <c r="AW36" s="31">
        <v>5642</v>
      </c>
      <c r="AX36" s="31">
        <v>6036</v>
      </c>
      <c r="AY36" s="31">
        <v>6068</v>
      </c>
      <c r="AZ36" s="31">
        <v>6100</v>
      </c>
      <c r="BA36" s="32">
        <v>6003</v>
      </c>
      <c r="BB36" s="30">
        <v>5857</v>
      </c>
      <c r="BC36" s="31">
        <v>5779</v>
      </c>
      <c r="BD36" s="5">
        <v>6104</v>
      </c>
      <c r="BE36" s="5">
        <v>6010</v>
      </c>
      <c r="BF36" s="5">
        <v>5926</v>
      </c>
      <c r="BG36" s="88">
        <v>6056</v>
      </c>
      <c r="BH36" s="88">
        <v>6096</v>
      </c>
      <c r="BI36" s="88">
        <v>5864</v>
      </c>
      <c r="BJ36" s="88">
        <v>5777</v>
      </c>
      <c r="BK36" s="89">
        <v>5755</v>
      </c>
      <c r="BL36" s="126">
        <v>5702</v>
      </c>
      <c r="BM36" s="5">
        <v>5877</v>
      </c>
      <c r="BN36" s="5">
        <v>5897</v>
      </c>
      <c r="BO36" s="5">
        <v>5724</v>
      </c>
      <c r="BP36" s="5">
        <v>6108</v>
      </c>
      <c r="BQ36" s="123">
        <v>5961</v>
      </c>
    </row>
    <row r="37" spans="1:69" x14ac:dyDescent="0.2">
      <c r="A37" s="20" t="s">
        <v>65</v>
      </c>
      <c r="B37" s="21" t="s">
        <v>66</v>
      </c>
      <c r="C37" s="25"/>
      <c r="D37" s="30">
        <v>374</v>
      </c>
      <c r="E37" s="31">
        <v>340</v>
      </c>
      <c r="F37" s="31">
        <v>311</v>
      </c>
      <c r="G37" s="31">
        <v>226</v>
      </c>
      <c r="H37" s="31">
        <v>271</v>
      </c>
      <c r="I37" s="31">
        <v>266</v>
      </c>
      <c r="J37" s="31">
        <v>271</v>
      </c>
      <c r="K37" s="31">
        <v>243</v>
      </c>
      <c r="L37" s="31">
        <v>227</v>
      </c>
      <c r="M37" s="32">
        <v>268</v>
      </c>
      <c r="N37" s="30">
        <v>277</v>
      </c>
      <c r="O37" s="31">
        <v>281</v>
      </c>
      <c r="P37" s="31">
        <v>286</v>
      </c>
      <c r="Q37" s="31">
        <v>300</v>
      </c>
      <c r="R37" s="31">
        <v>343</v>
      </c>
      <c r="S37" s="31">
        <v>367</v>
      </c>
      <c r="T37" s="31">
        <v>390</v>
      </c>
      <c r="U37" s="31">
        <v>439</v>
      </c>
      <c r="V37" s="31">
        <v>454</v>
      </c>
      <c r="W37" s="32">
        <v>509</v>
      </c>
      <c r="X37" s="30">
        <v>583</v>
      </c>
      <c r="Y37" s="31">
        <v>574</v>
      </c>
      <c r="Z37" s="31">
        <v>530</v>
      </c>
      <c r="AA37" s="31">
        <v>501</v>
      </c>
      <c r="AB37" s="31">
        <v>484</v>
      </c>
      <c r="AC37" s="31">
        <v>482</v>
      </c>
      <c r="AD37" s="31">
        <v>449</v>
      </c>
      <c r="AE37" s="31">
        <v>425</v>
      </c>
      <c r="AF37" s="31">
        <v>401</v>
      </c>
      <c r="AG37" s="32">
        <v>452</v>
      </c>
      <c r="AH37" s="30">
        <v>380</v>
      </c>
      <c r="AI37" s="31">
        <v>418</v>
      </c>
      <c r="AJ37" s="31">
        <v>411</v>
      </c>
      <c r="AK37" s="31">
        <v>444</v>
      </c>
      <c r="AL37" s="31">
        <v>440</v>
      </c>
      <c r="AM37" s="31">
        <v>463</v>
      </c>
      <c r="AN37" s="31">
        <v>451</v>
      </c>
      <c r="AO37" s="31">
        <v>450</v>
      </c>
      <c r="AP37" s="31">
        <v>423</v>
      </c>
      <c r="AQ37" s="32">
        <v>474</v>
      </c>
      <c r="AR37" s="30">
        <v>425</v>
      </c>
      <c r="AS37" s="31">
        <v>472</v>
      </c>
      <c r="AT37" s="31">
        <v>423</v>
      </c>
      <c r="AU37" s="31">
        <v>499</v>
      </c>
      <c r="AV37" s="31">
        <v>479</v>
      </c>
      <c r="AW37" s="31">
        <v>436</v>
      </c>
      <c r="AX37" s="31">
        <v>500</v>
      </c>
      <c r="AY37" s="31">
        <v>478</v>
      </c>
      <c r="AZ37" s="31">
        <v>410</v>
      </c>
      <c r="BA37" s="32">
        <v>445</v>
      </c>
      <c r="BB37" s="30">
        <v>418</v>
      </c>
      <c r="BC37" s="31">
        <v>449</v>
      </c>
      <c r="BD37" s="5">
        <v>429</v>
      </c>
      <c r="BE37" s="5">
        <v>440</v>
      </c>
      <c r="BF37" s="5">
        <v>461</v>
      </c>
      <c r="BG37" s="88">
        <v>449</v>
      </c>
      <c r="BH37" s="88">
        <v>438</v>
      </c>
      <c r="BI37" s="88">
        <v>427</v>
      </c>
      <c r="BJ37" s="88">
        <v>410</v>
      </c>
      <c r="BK37" s="89">
        <v>398</v>
      </c>
      <c r="BL37" s="126">
        <v>418</v>
      </c>
      <c r="BM37" s="5">
        <v>443</v>
      </c>
      <c r="BN37" s="5">
        <v>484</v>
      </c>
      <c r="BO37" s="5">
        <v>453</v>
      </c>
      <c r="BP37" s="5">
        <v>481</v>
      </c>
      <c r="BQ37" s="123">
        <v>440</v>
      </c>
    </row>
    <row r="38" spans="1:69" x14ac:dyDescent="0.2">
      <c r="A38" s="20" t="s">
        <v>67</v>
      </c>
      <c r="B38" s="21" t="s">
        <v>68</v>
      </c>
      <c r="C38" s="25" t="s">
        <v>2</v>
      </c>
      <c r="D38" s="30">
        <v>1305</v>
      </c>
      <c r="E38" s="31">
        <v>1308</v>
      </c>
      <c r="F38" s="31">
        <v>1364</v>
      </c>
      <c r="G38" s="31">
        <v>1283</v>
      </c>
      <c r="H38" s="31">
        <v>1273</v>
      </c>
      <c r="I38" s="31">
        <v>1073</v>
      </c>
      <c r="J38" s="31">
        <v>1117</v>
      </c>
      <c r="K38" s="31">
        <v>1130</v>
      </c>
      <c r="L38" s="31">
        <v>1300</v>
      </c>
      <c r="M38" s="32">
        <v>1332</v>
      </c>
      <c r="N38" s="30">
        <v>1423</v>
      </c>
      <c r="O38" s="31">
        <v>1334</v>
      </c>
      <c r="P38" s="31">
        <v>1195</v>
      </c>
      <c r="Q38" s="31">
        <v>1229</v>
      </c>
      <c r="R38" s="31">
        <v>1380</v>
      </c>
      <c r="S38" s="31">
        <v>1457</v>
      </c>
      <c r="T38" s="31">
        <v>1586</v>
      </c>
      <c r="U38" s="31">
        <v>1661</v>
      </c>
      <c r="V38" s="31">
        <v>1772</v>
      </c>
      <c r="W38" s="32">
        <v>2010</v>
      </c>
      <c r="X38" s="30">
        <v>2271</v>
      </c>
      <c r="Y38" s="31">
        <v>2120</v>
      </c>
      <c r="Z38" s="31">
        <v>2188</v>
      </c>
      <c r="AA38" s="31">
        <v>2140</v>
      </c>
      <c r="AB38" s="31">
        <v>2134</v>
      </c>
      <c r="AC38" s="31">
        <v>2160</v>
      </c>
      <c r="AD38" s="31">
        <v>2167</v>
      </c>
      <c r="AE38" s="31">
        <v>2164</v>
      </c>
      <c r="AF38" s="31">
        <v>2226</v>
      </c>
      <c r="AG38" s="32">
        <v>2327</v>
      </c>
      <c r="AH38" s="30">
        <v>2346</v>
      </c>
      <c r="AI38" s="31">
        <v>2449</v>
      </c>
      <c r="AJ38" s="31">
        <v>2471</v>
      </c>
      <c r="AK38" s="31">
        <v>2488</v>
      </c>
      <c r="AL38" s="31">
        <v>2445</v>
      </c>
      <c r="AM38" s="31">
        <v>2398</v>
      </c>
      <c r="AN38" s="31">
        <v>2486</v>
      </c>
      <c r="AO38" s="31">
        <v>2413</v>
      </c>
      <c r="AP38" s="31">
        <v>2516</v>
      </c>
      <c r="AQ38" s="32">
        <v>2495</v>
      </c>
      <c r="AR38" s="30">
        <v>2632</v>
      </c>
      <c r="AS38" s="31">
        <v>2450</v>
      </c>
      <c r="AT38" s="31">
        <v>2500</v>
      </c>
      <c r="AU38" s="31">
        <v>2671</v>
      </c>
      <c r="AV38" s="31">
        <v>2574</v>
      </c>
      <c r="AW38" s="31">
        <v>2628</v>
      </c>
      <c r="AX38" s="31">
        <v>2867</v>
      </c>
      <c r="AY38" s="31">
        <v>2934</v>
      </c>
      <c r="AZ38" s="31">
        <v>3152</v>
      </c>
      <c r="BA38" s="32">
        <v>3094</v>
      </c>
      <c r="BB38" s="30">
        <v>2950</v>
      </c>
      <c r="BC38" s="31">
        <v>3159</v>
      </c>
      <c r="BD38" s="5">
        <v>3094</v>
      </c>
      <c r="BE38" s="5">
        <v>3103</v>
      </c>
      <c r="BF38" s="5">
        <v>3154</v>
      </c>
      <c r="BG38" s="88">
        <v>3100</v>
      </c>
      <c r="BH38" s="88">
        <v>3184</v>
      </c>
      <c r="BI38" s="88">
        <v>3083</v>
      </c>
      <c r="BJ38" s="88">
        <v>3088</v>
      </c>
      <c r="BK38" s="89">
        <v>3025</v>
      </c>
      <c r="BL38" s="126">
        <v>3046</v>
      </c>
      <c r="BM38" s="5">
        <v>3069</v>
      </c>
      <c r="BN38" s="5">
        <v>2920</v>
      </c>
      <c r="BO38" s="5">
        <v>2955</v>
      </c>
      <c r="BP38" s="5">
        <v>3006</v>
      </c>
      <c r="BQ38" s="123">
        <v>2864</v>
      </c>
    </row>
    <row r="39" spans="1:69" x14ac:dyDescent="0.2">
      <c r="A39" s="20" t="s">
        <v>69</v>
      </c>
      <c r="B39" s="21" t="s">
        <v>70</v>
      </c>
      <c r="C39" s="25" t="s">
        <v>2</v>
      </c>
      <c r="D39" s="30">
        <v>64</v>
      </c>
      <c r="E39" s="31">
        <v>70</v>
      </c>
      <c r="F39" s="31">
        <v>54</v>
      </c>
      <c r="G39" s="31">
        <v>54</v>
      </c>
      <c r="H39" s="31">
        <v>61</v>
      </c>
      <c r="I39" s="31">
        <v>65</v>
      </c>
      <c r="J39" s="31">
        <v>44</v>
      </c>
      <c r="K39" s="31">
        <v>63</v>
      </c>
      <c r="L39" s="31">
        <v>50</v>
      </c>
      <c r="M39" s="32">
        <v>52</v>
      </c>
      <c r="N39" s="30">
        <v>65</v>
      </c>
      <c r="O39" s="31">
        <v>54</v>
      </c>
      <c r="P39" s="31">
        <v>49</v>
      </c>
      <c r="Q39" s="31">
        <v>57</v>
      </c>
      <c r="R39" s="31">
        <v>52</v>
      </c>
      <c r="S39" s="31">
        <v>62</v>
      </c>
      <c r="T39" s="31">
        <v>36</v>
      </c>
      <c r="U39" s="31">
        <v>52</v>
      </c>
      <c r="V39" s="31">
        <v>58</v>
      </c>
      <c r="W39" s="32">
        <v>47</v>
      </c>
      <c r="X39" s="30">
        <v>51</v>
      </c>
      <c r="Y39" s="31">
        <v>40</v>
      </c>
      <c r="Z39" s="31">
        <v>40</v>
      </c>
      <c r="AA39" s="31">
        <v>43</v>
      </c>
      <c r="AB39" s="31">
        <v>31</v>
      </c>
      <c r="AC39" s="31">
        <v>33</v>
      </c>
      <c r="AD39" s="31">
        <v>32</v>
      </c>
      <c r="AE39" s="31">
        <v>30</v>
      </c>
      <c r="AF39" s="31">
        <v>39</v>
      </c>
      <c r="AG39" s="32">
        <v>35</v>
      </c>
      <c r="AH39" s="30">
        <v>33</v>
      </c>
      <c r="AI39" s="31">
        <v>35</v>
      </c>
      <c r="AJ39" s="31">
        <v>22</v>
      </c>
      <c r="AK39" s="31">
        <v>37</v>
      </c>
      <c r="AL39" s="31">
        <v>43</v>
      </c>
      <c r="AM39" s="31">
        <v>32</v>
      </c>
      <c r="AN39" s="31">
        <v>46</v>
      </c>
      <c r="AO39" s="31">
        <v>39</v>
      </c>
      <c r="AP39" s="31">
        <v>34</v>
      </c>
      <c r="AQ39" s="32">
        <v>37</v>
      </c>
      <c r="AR39" s="30">
        <v>30</v>
      </c>
      <c r="AS39" s="31">
        <v>29</v>
      </c>
      <c r="AT39" s="31">
        <v>21</v>
      </c>
      <c r="AU39" s="31">
        <v>28</v>
      </c>
      <c r="AV39" s="31">
        <v>35</v>
      </c>
      <c r="AW39" s="31">
        <v>30</v>
      </c>
      <c r="AX39" s="31">
        <v>27</v>
      </c>
      <c r="AY39" s="31">
        <v>28</v>
      </c>
      <c r="AZ39" s="31">
        <v>30</v>
      </c>
      <c r="BA39" s="32">
        <v>29</v>
      </c>
      <c r="BB39" s="30">
        <v>33</v>
      </c>
      <c r="BC39" s="31">
        <v>25</v>
      </c>
      <c r="BD39" s="5">
        <v>37</v>
      </c>
      <c r="BE39" s="5">
        <v>31</v>
      </c>
      <c r="BF39" s="5">
        <v>20</v>
      </c>
      <c r="BG39" s="88">
        <v>29</v>
      </c>
      <c r="BH39" s="88">
        <v>20</v>
      </c>
      <c r="BI39" s="88">
        <v>32</v>
      </c>
      <c r="BJ39" s="88">
        <v>24</v>
      </c>
      <c r="BK39" s="89">
        <v>22</v>
      </c>
      <c r="BL39" s="126">
        <v>26</v>
      </c>
      <c r="BM39" s="5">
        <v>33</v>
      </c>
      <c r="BN39" s="5">
        <v>32</v>
      </c>
      <c r="BO39" s="5">
        <v>25</v>
      </c>
      <c r="BP39" s="5">
        <v>32</v>
      </c>
      <c r="BQ39" s="123">
        <v>35</v>
      </c>
    </row>
    <row r="40" spans="1:69" x14ac:dyDescent="0.2">
      <c r="A40" s="20" t="s">
        <v>71</v>
      </c>
      <c r="B40" s="21" t="s">
        <v>72</v>
      </c>
      <c r="C40" s="25" t="s">
        <v>2</v>
      </c>
      <c r="D40" s="30">
        <v>797</v>
      </c>
      <c r="E40" s="31">
        <v>760</v>
      </c>
      <c r="F40" s="31">
        <v>811</v>
      </c>
      <c r="G40" s="31">
        <v>703</v>
      </c>
      <c r="H40" s="31">
        <v>679</v>
      </c>
      <c r="I40" s="31">
        <v>610</v>
      </c>
      <c r="J40" s="31">
        <v>624</v>
      </c>
      <c r="K40" s="31">
        <v>597</v>
      </c>
      <c r="L40" s="31">
        <v>617</v>
      </c>
      <c r="M40" s="32">
        <v>624</v>
      </c>
      <c r="N40" s="30">
        <v>603</v>
      </c>
      <c r="O40" s="31">
        <v>534</v>
      </c>
      <c r="P40" s="31">
        <v>499</v>
      </c>
      <c r="Q40" s="31">
        <v>476</v>
      </c>
      <c r="R40" s="31">
        <v>513</v>
      </c>
      <c r="S40" s="31">
        <v>528</v>
      </c>
      <c r="T40" s="31">
        <v>582</v>
      </c>
      <c r="U40" s="31">
        <v>578</v>
      </c>
      <c r="V40" s="31">
        <v>648</v>
      </c>
      <c r="W40" s="32">
        <v>686</v>
      </c>
      <c r="X40" s="30">
        <v>689</v>
      </c>
      <c r="Y40" s="31">
        <v>734</v>
      </c>
      <c r="Z40" s="31">
        <v>717</v>
      </c>
      <c r="AA40" s="31">
        <v>731</v>
      </c>
      <c r="AB40" s="31">
        <v>643</v>
      </c>
      <c r="AC40" s="31">
        <v>649</v>
      </c>
      <c r="AD40" s="31">
        <v>624</v>
      </c>
      <c r="AE40" s="31">
        <v>659</v>
      </c>
      <c r="AF40" s="31">
        <v>633</v>
      </c>
      <c r="AG40" s="32">
        <v>649</v>
      </c>
      <c r="AH40" s="30">
        <v>661</v>
      </c>
      <c r="AI40" s="31">
        <v>766</v>
      </c>
      <c r="AJ40" s="31">
        <v>688</v>
      </c>
      <c r="AK40" s="31">
        <v>743</v>
      </c>
      <c r="AL40" s="31">
        <v>700</v>
      </c>
      <c r="AM40" s="31">
        <v>768</v>
      </c>
      <c r="AN40" s="31">
        <v>742</v>
      </c>
      <c r="AO40" s="31">
        <v>706</v>
      </c>
      <c r="AP40" s="31">
        <v>696</v>
      </c>
      <c r="AQ40" s="32">
        <v>669</v>
      </c>
      <c r="AR40" s="30">
        <v>684</v>
      </c>
      <c r="AS40" s="31">
        <v>714</v>
      </c>
      <c r="AT40" s="31">
        <v>681</v>
      </c>
      <c r="AU40" s="31">
        <v>709</v>
      </c>
      <c r="AV40" s="31">
        <v>715</v>
      </c>
      <c r="AW40" s="31">
        <v>708</v>
      </c>
      <c r="AX40" s="31">
        <v>669</v>
      </c>
      <c r="AY40" s="31">
        <v>712</v>
      </c>
      <c r="AZ40" s="31">
        <v>729</v>
      </c>
      <c r="BA40" s="32">
        <v>645</v>
      </c>
      <c r="BB40" s="30">
        <v>694</v>
      </c>
      <c r="BC40" s="31">
        <v>660</v>
      </c>
      <c r="BD40" s="5">
        <v>678</v>
      </c>
      <c r="BE40" s="5">
        <v>679</v>
      </c>
      <c r="BF40" s="5">
        <v>685</v>
      </c>
      <c r="BG40" s="88">
        <v>642</v>
      </c>
      <c r="BH40" s="88">
        <v>664</v>
      </c>
      <c r="BI40" s="88">
        <v>629</v>
      </c>
      <c r="BJ40" s="88">
        <v>603</v>
      </c>
      <c r="BK40" s="89">
        <v>596</v>
      </c>
      <c r="BL40" s="126">
        <v>572</v>
      </c>
      <c r="BM40" s="5">
        <v>579</v>
      </c>
      <c r="BN40" s="5">
        <v>534</v>
      </c>
      <c r="BO40" s="5">
        <v>551</v>
      </c>
      <c r="BP40" s="5">
        <v>544</v>
      </c>
      <c r="BQ40" s="123">
        <v>554</v>
      </c>
    </row>
    <row r="41" spans="1:69" x14ac:dyDescent="0.2">
      <c r="A41" s="20" t="s">
        <v>73</v>
      </c>
      <c r="B41" s="21" t="s">
        <v>74</v>
      </c>
      <c r="C41" s="25" t="s">
        <v>2</v>
      </c>
      <c r="D41" s="30">
        <v>1309</v>
      </c>
      <c r="E41" s="31">
        <v>1366</v>
      </c>
      <c r="F41" s="31">
        <v>1270</v>
      </c>
      <c r="G41" s="31">
        <v>1250</v>
      </c>
      <c r="H41" s="31">
        <v>1107</v>
      </c>
      <c r="I41" s="31">
        <v>1027</v>
      </c>
      <c r="J41" s="31">
        <v>1032</v>
      </c>
      <c r="K41" s="31">
        <v>1091</v>
      </c>
      <c r="L41" s="31">
        <v>1231</v>
      </c>
      <c r="M41" s="32">
        <v>1333</v>
      </c>
      <c r="N41" s="30">
        <v>1363</v>
      </c>
      <c r="O41" s="31">
        <v>1316</v>
      </c>
      <c r="P41" s="31">
        <v>1142</v>
      </c>
      <c r="Q41" s="31">
        <v>1207</v>
      </c>
      <c r="R41" s="31">
        <v>1248</v>
      </c>
      <c r="S41" s="31">
        <v>1269</v>
      </c>
      <c r="T41" s="31">
        <v>1361</v>
      </c>
      <c r="U41" s="31">
        <v>1424</v>
      </c>
      <c r="V41" s="31">
        <v>1493</v>
      </c>
      <c r="W41" s="32">
        <v>1591</v>
      </c>
      <c r="X41" s="30">
        <v>1669</v>
      </c>
      <c r="Y41" s="31">
        <v>1691</v>
      </c>
      <c r="Z41" s="31">
        <v>1686</v>
      </c>
      <c r="AA41" s="31">
        <v>1665</v>
      </c>
      <c r="AB41" s="31">
        <v>1606</v>
      </c>
      <c r="AC41" s="31">
        <v>1619</v>
      </c>
      <c r="AD41" s="31">
        <v>1560</v>
      </c>
      <c r="AE41" s="31">
        <v>1597</v>
      </c>
      <c r="AF41" s="31">
        <v>1708</v>
      </c>
      <c r="AG41" s="32">
        <v>1727</v>
      </c>
      <c r="AH41" s="30">
        <v>1804</v>
      </c>
      <c r="AI41" s="31">
        <v>1955</v>
      </c>
      <c r="AJ41" s="31">
        <v>1907</v>
      </c>
      <c r="AK41" s="31">
        <v>1909</v>
      </c>
      <c r="AL41" s="31">
        <v>1952</v>
      </c>
      <c r="AM41" s="31">
        <v>1856</v>
      </c>
      <c r="AN41" s="31">
        <v>1882</v>
      </c>
      <c r="AO41" s="31">
        <v>2020</v>
      </c>
      <c r="AP41" s="31">
        <v>2063</v>
      </c>
      <c r="AQ41" s="32">
        <v>1954</v>
      </c>
      <c r="AR41" s="30">
        <v>2033</v>
      </c>
      <c r="AS41" s="31">
        <v>1976</v>
      </c>
      <c r="AT41" s="31">
        <v>1994</v>
      </c>
      <c r="AU41" s="31">
        <v>2099</v>
      </c>
      <c r="AV41" s="31">
        <v>2010</v>
      </c>
      <c r="AW41" s="31">
        <v>2169</v>
      </c>
      <c r="AX41" s="31">
        <v>2197</v>
      </c>
      <c r="AY41" s="31">
        <v>2205</v>
      </c>
      <c r="AZ41" s="31">
        <v>2241</v>
      </c>
      <c r="BA41" s="32">
        <v>2237</v>
      </c>
      <c r="BB41" s="30">
        <v>2286</v>
      </c>
      <c r="BC41" s="31">
        <v>2304</v>
      </c>
      <c r="BD41" s="5">
        <v>2242</v>
      </c>
      <c r="BE41" s="5">
        <v>2248</v>
      </c>
      <c r="BF41" s="5">
        <v>2314</v>
      </c>
      <c r="BG41" s="88">
        <v>2355</v>
      </c>
      <c r="BH41" s="88">
        <v>2257</v>
      </c>
      <c r="BI41" s="88">
        <v>2208</v>
      </c>
      <c r="BJ41" s="88">
        <v>2082</v>
      </c>
      <c r="BK41" s="89">
        <v>1972</v>
      </c>
      <c r="BL41" s="126">
        <v>1998</v>
      </c>
      <c r="BM41" s="5">
        <v>2035</v>
      </c>
      <c r="BN41" s="5">
        <v>1923</v>
      </c>
      <c r="BO41" s="5">
        <v>1999</v>
      </c>
      <c r="BP41" s="5">
        <v>2031</v>
      </c>
      <c r="BQ41" s="123">
        <v>2069</v>
      </c>
    </row>
    <row r="42" spans="1:69" x14ac:dyDescent="0.2">
      <c r="A42" s="20" t="s">
        <v>75</v>
      </c>
      <c r="B42" s="21" t="s">
        <v>76</v>
      </c>
      <c r="C42" s="25"/>
      <c r="D42" s="30">
        <v>693</v>
      </c>
      <c r="E42" s="31">
        <v>690</v>
      </c>
      <c r="F42" s="31">
        <v>658</v>
      </c>
      <c r="G42" s="31">
        <v>601</v>
      </c>
      <c r="H42" s="31">
        <v>540</v>
      </c>
      <c r="I42" s="31">
        <v>490</v>
      </c>
      <c r="J42" s="31">
        <v>497</v>
      </c>
      <c r="K42" s="31">
        <v>481</v>
      </c>
      <c r="L42" s="31">
        <v>557</v>
      </c>
      <c r="M42" s="32">
        <v>566</v>
      </c>
      <c r="N42" s="30">
        <v>560</v>
      </c>
      <c r="O42" s="31">
        <v>518</v>
      </c>
      <c r="P42" s="31">
        <v>475</v>
      </c>
      <c r="Q42" s="31">
        <v>458</v>
      </c>
      <c r="R42" s="31">
        <v>442</v>
      </c>
      <c r="S42" s="31">
        <v>467</v>
      </c>
      <c r="T42" s="31">
        <v>477</v>
      </c>
      <c r="U42" s="31">
        <v>463</v>
      </c>
      <c r="V42" s="31">
        <v>427</v>
      </c>
      <c r="W42" s="32">
        <v>482</v>
      </c>
      <c r="X42" s="30">
        <v>492</v>
      </c>
      <c r="Y42" s="31">
        <v>516</v>
      </c>
      <c r="Z42" s="31">
        <v>487</v>
      </c>
      <c r="AA42" s="31">
        <v>450</v>
      </c>
      <c r="AB42" s="31">
        <v>505</v>
      </c>
      <c r="AC42" s="31">
        <v>431</v>
      </c>
      <c r="AD42" s="31">
        <v>424</v>
      </c>
      <c r="AE42" s="31">
        <v>391</v>
      </c>
      <c r="AF42" s="31">
        <v>403</v>
      </c>
      <c r="AG42" s="32">
        <v>372</v>
      </c>
      <c r="AH42" s="30">
        <v>405</v>
      </c>
      <c r="AI42" s="31">
        <v>440</v>
      </c>
      <c r="AJ42" s="31">
        <v>395</v>
      </c>
      <c r="AK42" s="31">
        <v>440</v>
      </c>
      <c r="AL42" s="31">
        <v>398</v>
      </c>
      <c r="AM42" s="31">
        <v>463</v>
      </c>
      <c r="AN42" s="31">
        <v>400</v>
      </c>
      <c r="AO42" s="31">
        <v>399</v>
      </c>
      <c r="AP42" s="31">
        <v>405</v>
      </c>
      <c r="AQ42" s="32">
        <v>433</v>
      </c>
      <c r="AR42" s="30">
        <v>385</v>
      </c>
      <c r="AS42" s="31">
        <v>378</v>
      </c>
      <c r="AT42" s="31">
        <v>432</v>
      </c>
      <c r="AU42" s="31">
        <v>393</v>
      </c>
      <c r="AV42" s="31">
        <v>391</v>
      </c>
      <c r="AW42" s="31">
        <v>414</v>
      </c>
      <c r="AX42" s="31">
        <v>423</v>
      </c>
      <c r="AY42" s="31">
        <v>452</v>
      </c>
      <c r="AZ42" s="31">
        <v>430</v>
      </c>
      <c r="BA42" s="32">
        <v>423</v>
      </c>
      <c r="BB42" s="30">
        <v>442</v>
      </c>
      <c r="BC42" s="31">
        <v>413</v>
      </c>
      <c r="BD42" s="5">
        <v>498</v>
      </c>
      <c r="BE42" s="5">
        <v>440</v>
      </c>
      <c r="BF42" s="5">
        <v>439</v>
      </c>
      <c r="BG42" s="88">
        <v>418</v>
      </c>
      <c r="BH42" s="88">
        <v>438</v>
      </c>
      <c r="BI42" s="88">
        <v>402</v>
      </c>
      <c r="BJ42" s="88">
        <v>361</v>
      </c>
      <c r="BK42" s="89">
        <v>367</v>
      </c>
      <c r="BL42" s="126">
        <v>358</v>
      </c>
      <c r="BM42" s="5">
        <v>396</v>
      </c>
      <c r="BN42" s="5">
        <v>413</v>
      </c>
      <c r="BO42" s="5">
        <v>379</v>
      </c>
      <c r="BP42" s="5">
        <v>390</v>
      </c>
      <c r="BQ42" s="123">
        <v>398</v>
      </c>
    </row>
    <row r="43" spans="1:69" x14ac:dyDescent="0.2">
      <c r="A43" s="20" t="s">
        <v>77</v>
      </c>
      <c r="B43" s="21" t="s">
        <v>78</v>
      </c>
      <c r="C43" s="25" t="s">
        <v>2</v>
      </c>
      <c r="D43" s="30">
        <v>3196</v>
      </c>
      <c r="E43" s="31">
        <v>3273</v>
      </c>
      <c r="F43" s="31">
        <v>3223</v>
      </c>
      <c r="G43" s="31">
        <v>3074</v>
      </c>
      <c r="H43" s="31">
        <v>2974</v>
      </c>
      <c r="I43" s="31">
        <v>2614</v>
      </c>
      <c r="J43" s="31">
        <v>2503</v>
      </c>
      <c r="K43" s="31">
        <v>2560</v>
      </c>
      <c r="L43" s="31">
        <v>2615</v>
      </c>
      <c r="M43" s="32">
        <v>2613</v>
      </c>
      <c r="N43" s="30">
        <v>2898</v>
      </c>
      <c r="O43" s="31">
        <v>2635</v>
      </c>
      <c r="P43" s="31">
        <v>2366</v>
      </c>
      <c r="Q43" s="31">
        <v>2440</v>
      </c>
      <c r="R43" s="31">
        <v>2499</v>
      </c>
      <c r="S43" s="31">
        <v>2731</v>
      </c>
      <c r="T43" s="31">
        <v>2880</v>
      </c>
      <c r="U43" s="31">
        <v>3058</v>
      </c>
      <c r="V43" s="31">
        <v>2990</v>
      </c>
      <c r="W43" s="32">
        <v>3312</v>
      </c>
      <c r="X43" s="30">
        <v>3340</v>
      </c>
      <c r="Y43" s="31">
        <v>3445</v>
      </c>
      <c r="Z43" s="31">
        <v>3347</v>
      </c>
      <c r="AA43" s="31">
        <v>3309</v>
      </c>
      <c r="AB43" s="31">
        <v>3291</v>
      </c>
      <c r="AC43" s="31">
        <v>3338</v>
      </c>
      <c r="AD43" s="31">
        <v>3414</v>
      </c>
      <c r="AE43" s="31">
        <v>3397</v>
      </c>
      <c r="AF43" s="31">
        <v>3641</v>
      </c>
      <c r="AG43" s="32">
        <v>3764</v>
      </c>
      <c r="AH43" s="30">
        <v>4095</v>
      </c>
      <c r="AI43" s="31">
        <v>4300</v>
      </c>
      <c r="AJ43" s="31">
        <v>4317</v>
      </c>
      <c r="AK43" s="31">
        <v>4373</v>
      </c>
      <c r="AL43" s="31">
        <v>4218</v>
      </c>
      <c r="AM43" s="31">
        <v>4169</v>
      </c>
      <c r="AN43" s="31">
        <v>4229</v>
      </c>
      <c r="AO43" s="31">
        <v>4190</v>
      </c>
      <c r="AP43" s="31">
        <v>4326</v>
      </c>
      <c r="AQ43" s="32">
        <v>4232</v>
      </c>
      <c r="AR43" s="30">
        <v>4235</v>
      </c>
      <c r="AS43" s="31">
        <v>4140</v>
      </c>
      <c r="AT43" s="31">
        <v>4023</v>
      </c>
      <c r="AU43" s="31">
        <v>4208</v>
      </c>
      <c r="AV43" s="31">
        <v>4155</v>
      </c>
      <c r="AW43" s="31">
        <v>4163</v>
      </c>
      <c r="AX43" s="31">
        <v>4437</v>
      </c>
      <c r="AY43" s="31">
        <v>4550</v>
      </c>
      <c r="AZ43" s="31">
        <v>4410</v>
      </c>
      <c r="BA43" s="32">
        <v>4453</v>
      </c>
      <c r="BB43" s="30">
        <v>4401</v>
      </c>
      <c r="BC43" s="31">
        <v>4212</v>
      </c>
      <c r="BD43" s="5">
        <v>4008</v>
      </c>
      <c r="BE43" s="5">
        <v>4034</v>
      </c>
      <c r="BF43" s="5">
        <v>4093</v>
      </c>
      <c r="BG43" s="88">
        <v>4039</v>
      </c>
      <c r="BH43" s="88">
        <v>3835</v>
      </c>
      <c r="BI43" s="88">
        <v>3829</v>
      </c>
      <c r="BJ43" s="88">
        <v>3570</v>
      </c>
      <c r="BK43" s="89">
        <v>3581</v>
      </c>
      <c r="BL43" s="126">
        <v>3407</v>
      </c>
      <c r="BM43" s="5">
        <v>3441</v>
      </c>
      <c r="BN43" s="5">
        <v>3426</v>
      </c>
      <c r="BO43" s="5">
        <v>3165</v>
      </c>
      <c r="BP43" s="5">
        <v>3450</v>
      </c>
      <c r="BQ43" s="123">
        <v>3490</v>
      </c>
    </row>
    <row r="44" spans="1:69" x14ac:dyDescent="0.2">
      <c r="A44" s="22" t="s">
        <v>79</v>
      </c>
      <c r="B44" s="23" t="s">
        <v>80</v>
      </c>
      <c r="C44" s="26" t="s">
        <v>2</v>
      </c>
      <c r="D44" s="33">
        <v>65328</v>
      </c>
      <c r="E44" s="34">
        <v>65101</v>
      </c>
      <c r="F44" s="34">
        <v>63919</v>
      </c>
      <c r="G44" s="34">
        <v>60354</v>
      </c>
      <c r="H44" s="34">
        <v>55879</v>
      </c>
      <c r="I44" s="34">
        <v>52161</v>
      </c>
      <c r="J44" s="34">
        <v>52897</v>
      </c>
      <c r="K44" s="34">
        <v>54888</v>
      </c>
      <c r="L44" s="34">
        <v>58012</v>
      </c>
      <c r="M44" s="35">
        <v>59930</v>
      </c>
      <c r="N44" s="33">
        <v>60031</v>
      </c>
      <c r="O44" s="34">
        <v>53096</v>
      </c>
      <c r="P44" s="34">
        <v>47697</v>
      </c>
      <c r="Q44" s="34">
        <v>48159</v>
      </c>
      <c r="R44" s="34">
        <v>50127</v>
      </c>
      <c r="S44" s="34">
        <v>51398</v>
      </c>
      <c r="T44" s="34">
        <v>54193</v>
      </c>
      <c r="U44" s="34">
        <v>57281</v>
      </c>
      <c r="V44" s="34">
        <v>60214</v>
      </c>
      <c r="W44" s="35">
        <v>65370</v>
      </c>
      <c r="X44" s="33">
        <v>68153</v>
      </c>
      <c r="Y44" s="34">
        <v>70270</v>
      </c>
      <c r="Z44" s="34">
        <v>69602</v>
      </c>
      <c r="AA44" s="34">
        <v>68577</v>
      </c>
      <c r="AB44" s="34">
        <v>69215</v>
      </c>
      <c r="AC44" s="34">
        <v>70317</v>
      </c>
      <c r="AD44" s="34">
        <v>69408</v>
      </c>
      <c r="AE44" s="34">
        <v>71105</v>
      </c>
      <c r="AF44" s="34">
        <v>73211</v>
      </c>
      <c r="AG44" s="35">
        <v>76657</v>
      </c>
      <c r="AH44" s="33">
        <v>79325</v>
      </c>
      <c r="AI44" s="34">
        <v>80573</v>
      </c>
      <c r="AJ44" s="34">
        <v>79530</v>
      </c>
      <c r="AK44" s="34">
        <v>78325</v>
      </c>
      <c r="AL44" s="34">
        <v>77453</v>
      </c>
      <c r="AM44" s="34">
        <v>77008</v>
      </c>
      <c r="AN44" s="34">
        <v>78035</v>
      </c>
      <c r="AO44" s="34">
        <v>78828</v>
      </c>
      <c r="AP44" s="34">
        <v>79758</v>
      </c>
      <c r="AQ44" s="35">
        <v>79853</v>
      </c>
      <c r="AR44" s="33">
        <v>80732</v>
      </c>
      <c r="AS44" s="34">
        <v>79291</v>
      </c>
      <c r="AT44" s="34">
        <v>79069</v>
      </c>
      <c r="AU44" s="34">
        <v>80957</v>
      </c>
      <c r="AV44" s="34">
        <v>81845</v>
      </c>
      <c r="AW44" s="34">
        <v>83170</v>
      </c>
      <c r="AX44" s="34">
        <v>87752</v>
      </c>
      <c r="AY44" s="34">
        <v>89568</v>
      </c>
      <c r="AZ44" s="34">
        <v>89838</v>
      </c>
      <c r="BA44" s="35">
        <v>88408</v>
      </c>
      <c r="BB44" s="33">
        <v>86383</v>
      </c>
      <c r="BC44" s="34">
        <v>87134</v>
      </c>
      <c r="BD44" s="34">
        <v>87250</v>
      </c>
      <c r="BE44" s="68">
        <v>87026</v>
      </c>
      <c r="BF44" s="91">
        <v>88479</v>
      </c>
      <c r="BG44" s="91">
        <v>89819</v>
      </c>
      <c r="BH44" s="91">
        <v>89664</v>
      </c>
      <c r="BI44" s="91">
        <v>87346</v>
      </c>
      <c r="BJ44" s="91">
        <v>85708</v>
      </c>
      <c r="BK44" s="92">
        <v>84843</v>
      </c>
      <c r="BL44" s="101">
        <v>82100</v>
      </c>
      <c r="BM44" s="102">
        <v>84451</v>
      </c>
      <c r="BN44" s="102">
        <v>82626</v>
      </c>
      <c r="BO44" s="102">
        <v>81623</v>
      </c>
      <c r="BP44" s="102">
        <v>83698</v>
      </c>
      <c r="BQ44" s="103">
        <v>83127</v>
      </c>
    </row>
  </sheetData>
  <pageMargins left="0.5" right="0.5" top="0.5" bottom="0.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44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0" style="4" customWidth="1"/>
    <col min="23" max="23" width="10" style="5" customWidth="1"/>
    <col min="24" max="62" width="10" style="4" customWidth="1"/>
    <col min="63" max="69" width="10" style="6" customWidth="1"/>
    <col min="70" max="16384" width="9.33203125" style="6"/>
  </cols>
  <sheetData>
    <row r="1" spans="1:69" s="9" customFormat="1" ht="12" x14ac:dyDescent="0.2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  <c r="BD1" s="16"/>
      <c r="BE1" s="16"/>
      <c r="BF1" s="16"/>
      <c r="BG1" s="16"/>
      <c r="BH1" s="16"/>
      <c r="BI1" s="16"/>
      <c r="BJ1" s="16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  <c r="BD2" s="16"/>
      <c r="BE2" s="16"/>
      <c r="BF2" s="16"/>
      <c r="BG2" s="16"/>
      <c r="BH2" s="16"/>
      <c r="BI2" s="16"/>
      <c r="BJ2" s="16"/>
    </row>
    <row r="4" spans="1:69" s="7" customFormat="1" ht="57.95" customHeight="1" x14ac:dyDescent="0.2">
      <c r="A4" s="18" t="s">
        <v>81</v>
      </c>
      <c r="B4" s="19" t="s">
        <v>82</v>
      </c>
      <c r="C4" s="24" t="s">
        <v>361</v>
      </c>
      <c r="D4" s="27" t="s">
        <v>165</v>
      </c>
      <c r="E4" s="28" t="s">
        <v>166</v>
      </c>
      <c r="F4" s="28" t="s">
        <v>167</v>
      </c>
      <c r="G4" s="28" t="s">
        <v>168</v>
      </c>
      <c r="H4" s="28" t="s">
        <v>169</v>
      </c>
      <c r="I4" s="28" t="s">
        <v>170</v>
      </c>
      <c r="J4" s="28" t="s">
        <v>171</v>
      </c>
      <c r="K4" s="28" t="s">
        <v>172</v>
      </c>
      <c r="L4" s="28" t="s">
        <v>173</v>
      </c>
      <c r="M4" s="29" t="s">
        <v>174</v>
      </c>
      <c r="N4" s="27" t="s">
        <v>175</v>
      </c>
      <c r="O4" s="28" t="s">
        <v>176</v>
      </c>
      <c r="P4" s="28" t="s">
        <v>177</v>
      </c>
      <c r="Q4" s="28" t="s">
        <v>178</v>
      </c>
      <c r="R4" s="28" t="s">
        <v>179</v>
      </c>
      <c r="S4" s="28" t="s">
        <v>180</v>
      </c>
      <c r="T4" s="28" t="s">
        <v>181</v>
      </c>
      <c r="U4" s="28" t="s">
        <v>182</v>
      </c>
      <c r="V4" s="28" t="s">
        <v>183</v>
      </c>
      <c r="W4" s="29" t="s">
        <v>184</v>
      </c>
      <c r="X4" s="27" t="s">
        <v>185</v>
      </c>
      <c r="Y4" s="28" t="s">
        <v>186</v>
      </c>
      <c r="Z4" s="28" t="s">
        <v>187</v>
      </c>
      <c r="AA4" s="28" t="s">
        <v>188</v>
      </c>
      <c r="AB4" s="28" t="s">
        <v>189</v>
      </c>
      <c r="AC4" s="28" t="s">
        <v>190</v>
      </c>
      <c r="AD4" s="28" t="s">
        <v>191</v>
      </c>
      <c r="AE4" s="28" t="s">
        <v>192</v>
      </c>
      <c r="AF4" s="28" t="s">
        <v>193</v>
      </c>
      <c r="AG4" s="29" t="s">
        <v>194</v>
      </c>
      <c r="AH4" s="27" t="s">
        <v>195</v>
      </c>
      <c r="AI4" s="28" t="s">
        <v>196</v>
      </c>
      <c r="AJ4" s="28" t="s">
        <v>197</v>
      </c>
      <c r="AK4" s="28" t="s">
        <v>198</v>
      </c>
      <c r="AL4" s="28" t="s">
        <v>199</v>
      </c>
      <c r="AM4" s="28" t="s">
        <v>200</v>
      </c>
      <c r="AN4" s="28" t="s">
        <v>201</v>
      </c>
      <c r="AO4" s="28" t="s">
        <v>202</v>
      </c>
      <c r="AP4" s="28" t="s">
        <v>203</v>
      </c>
      <c r="AQ4" s="29" t="s">
        <v>204</v>
      </c>
      <c r="AR4" s="27" t="s">
        <v>205</v>
      </c>
      <c r="AS4" s="28" t="s">
        <v>206</v>
      </c>
      <c r="AT4" s="28" t="s">
        <v>207</v>
      </c>
      <c r="AU4" s="28" t="s">
        <v>208</v>
      </c>
      <c r="AV4" s="28" t="s">
        <v>209</v>
      </c>
      <c r="AW4" s="28" t="s">
        <v>210</v>
      </c>
      <c r="AX4" s="28" t="s">
        <v>211</v>
      </c>
      <c r="AY4" s="28" t="s">
        <v>212</v>
      </c>
      <c r="AZ4" s="28" t="s">
        <v>213</v>
      </c>
      <c r="BA4" s="29" t="s">
        <v>214</v>
      </c>
      <c r="BB4" s="27" t="s">
        <v>215</v>
      </c>
      <c r="BC4" s="28" t="s">
        <v>216</v>
      </c>
      <c r="BD4" s="28" t="s">
        <v>217</v>
      </c>
      <c r="BE4" s="37" t="s">
        <v>350</v>
      </c>
      <c r="BF4" s="37" t="s">
        <v>354</v>
      </c>
      <c r="BG4" s="37" t="s">
        <v>359</v>
      </c>
      <c r="BH4" s="72" t="s">
        <v>421</v>
      </c>
      <c r="BI4" s="72" t="s">
        <v>432</v>
      </c>
      <c r="BJ4" s="72" t="s">
        <v>437</v>
      </c>
      <c r="BK4" s="66" t="s">
        <v>442</v>
      </c>
      <c r="BL4" s="97" t="s">
        <v>471</v>
      </c>
      <c r="BM4" s="72" t="s">
        <v>464</v>
      </c>
      <c r="BN4" s="72" t="s">
        <v>472</v>
      </c>
      <c r="BO4" s="117" t="s">
        <v>548</v>
      </c>
      <c r="BP4" s="117" t="s">
        <v>555</v>
      </c>
      <c r="BQ4" s="66" t="s">
        <v>563</v>
      </c>
    </row>
    <row r="5" spans="1:69" x14ac:dyDescent="0.2">
      <c r="A5" s="20" t="s">
        <v>0</v>
      </c>
      <c r="B5" s="21" t="s">
        <v>1</v>
      </c>
      <c r="C5" s="25" t="s">
        <v>2</v>
      </c>
      <c r="D5" s="30">
        <v>88</v>
      </c>
      <c r="E5" s="31">
        <v>79</v>
      </c>
      <c r="F5" s="31">
        <v>65</v>
      </c>
      <c r="G5" s="31">
        <v>76</v>
      </c>
      <c r="H5" s="31">
        <v>83</v>
      </c>
      <c r="I5" s="31">
        <v>82</v>
      </c>
      <c r="J5" s="31">
        <v>86</v>
      </c>
      <c r="K5" s="31">
        <v>94</v>
      </c>
      <c r="L5" s="31">
        <v>83</v>
      </c>
      <c r="M5" s="32">
        <v>69</v>
      </c>
      <c r="N5" s="30">
        <v>112</v>
      </c>
      <c r="O5" s="31">
        <v>83</v>
      </c>
      <c r="P5" s="31">
        <v>71</v>
      </c>
      <c r="Q5" s="31">
        <v>74</v>
      </c>
      <c r="R5" s="31">
        <v>84</v>
      </c>
      <c r="S5" s="31">
        <v>96</v>
      </c>
      <c r="T5" s="31">
        <v>108</v>
      </c>
      <c r="U5" s="31">
        <v>89</v>
      </c>
      <c r="V5" s="31">
        <v>79</v>
      </c>
      <c r="W5" s="32">
        <v>100</v>
      </c>
      <c r="X5" s="30">
        <v>86</v>
      </c>
      <c r="Y5" s="31">
        <v>77</v>
      </c>
      <c r="Z5" s="31">
        <v>101</v>
      </c>
      <c r="AA5" s="31">
        <v>80</v>
      </c>
      <c r="AB5" s="31">
        <v>97</v>
      </c>
      <c r="AC5" s="31">
        <v>111</v>
      </c>
      <c r="AD5" s="31">
        <v>112</v>
      </c>
      <c r="AE5" s="31">
        <v>102</v>
      </c>
      <c r="AF5" s="31">
        <v>110</v>
      </c>
      <c r="AG5" s="32">
        <v>114</v>
      </c>
      <c r="AH5" s="30">
        <v>107</v>
      </c>
      <c r="AI5" s="31">
        <v>101</v>
      </c>
      <c r="AJ5" s="31">
        <v>97</v>
      </c>
      <c r="AK5" s="31">
        <v>98</v>
      </c>
      <c r="AL5" s="31">
        <v>110</v>
      </c>
      <c r="AM5" s="31">
        <v>105</v>
      </c>
      <c r="AN5" s="31">
        <v>114</v>
      </c>
      <c r="AO5" s="31">
        <v>100</v>
      </c>
      <c r="AP5" s="31">
        <v>122</v>
      </c>
      <c r="AQ5" s="32">
        <v>109</v>
      </c>
      <c r="AR5" s="30">
        <v>102</v>
      </c>
      <c r="AS5" s="31">
        <v>121</v>
      </c>
      <c r="AT5" s="31">
        <v>107</v>
      </c>
      <c r="AU5" s="31">
        <v>117</v>
      </c>
      <c r="AV5" s="31">
        <v>115</v>
      </c>
      <c r="AW5" s="31">
        <v>100</v>
      </c>
      <c r="AX5" s="31">
        <v>100</v>
      </c>
      <c r="AY5" s="31">
        <v>118</v>
      </c>
      <c r="AZ5" s="31">
        <v>122</v>
      </c>
      <c r="BA5" s="32">
        <v>112</v>
      </c>
      <c r="BB5" s="30">
        <v>115</v>
      </c>
      <c r="BC5" s="31">
        <v>102</v>
      </c>
      <c r="BD5" s="31">
        <v>121</v>
      </c>
      <c r="BE5" s="67">
        <v>125</v>
      </c>
      <c r="BF5" s="67">
        <v>127</v>
      </c>
      <c r="BG5" s="67">
        <v>147</v>
      </c>
      <c r="BH5" s="88">
        <v>117</v>
      </c>
      <c r="BI5" s="88">
        <v>99</v>
      </c>
      <c r="BJ5" s="88">
        <v>110</v>
      </c>
      <c r="BK5" s="89">
        <v>131</v>
      </c>
      <c r="BL5" s="87">
        <v>142</v>
      </c>
      <c r="BM5" s="88">
        <v>151</v>
      </c>
      <c r="BN5" s="88">
        <v>165</v>
      </c>
      <c r="BO5" s="5">
        <v>103</v>
      </c>
      <c r="BP5" s="5">
        <v>133</v>
      </c>
      <c r="BQ5" s="89">
        <v>132</v>
      </c>
    </row>
    <row r="6" spans="1:69" x14ac:dyDescent="0.2">
      <c r="A6" s="20" t="s">
        <v>3</v>
      </c>
      <c r="B6" s="21" t="s">
        <v>4</v>
      </c>
      <c r="C6" s="25" t="s">
        <v>2</v>
      </c>
      <c r="D6" s="30">
        <v>138</v>
      </c>
      <c r="E6" s="31">
        <v>128</v>
      </c>
      <c r="F6" s="31">
        <v>138</v>
      </c>
      <c r="G6" s="31">
        <v>163</v>
      </c>
      <c r="H6" s="31">
        <v>178</v>
      </c>
      <c r="I6" s="31">
        <v>147</v>
      </c>
      <c r="J6" s="31">
        <v>145</v>
      </c>
      <c r="K6" s="31">
        <v>138</v>
      </c>
      <c r="L6" s="31">
        <v>182</v>
      </c>
      <c r="M6" s="32">
        <v>171</v>
      </c>
      <c r="N6" s="30">
        <v>184</v>
      </c>
      <c r="O6" s="31">
        <v>167</v>
      </c>
      <c r="P6" s="31">
        <v>161</v>
      </c>
      <c r="Q6" s="31">
        <v>184</v>
      </c>
      <c r="R6" s="31">
        <v>172</v>
      </c>
      <c r="S6" s="31">
        <v>158</v>
      </c>
      <c r="T6" s="31">
        <v>182</v>
      </c>
      <c r="U6" s="31">
        <v>185</v>
      </c>
      <c r="V6" s="31">
        <v>187</v>
      </c>
      <c r="W6" s="32">
        <v>183</v>
      </c>
      <c r="X6" s="30">
        <v>154</v>
      </c>
      <c r="Y6" s="31">
        <v>147</v>
      </c>
      <c r="Z6" s="31">
        <v>171</v>
      </c>
      <c r="AA6" s="31">
        <v>175</v>
      </c>
      <c r="AB6" s="31">
        <v>155</v>
      </c>
      <c r="AC6" s="31">
        <v>196</v>
      </c>
      <c r="AD6" s="31">
        <v>166</v>
      </c>
      <c r="AE6" s="31">
        <v>170</v>
      </c>
      <c r="AF6" s="31">
        <v>162</v>
      </c>
      <c r="AG6" s="32">
        <v>181</v>
      </c>
      <c r="AH6" s="30">
        <v>210</v>
      </c>
      <c r="AI6" s="31">
        <v>208</v>
      </c>
      <c r="AJ6" s="31">
        <v>206</v>
      </c>
      <c r="AK6" s="31">
        <v>231</v>
      </c>
      <c r="AL6" s="31">
        <v>205</v>
      </c>
      <c r="AM6" s="31">
        <v>213</v>
      </c>
      <c r="AN6" s="31">
        <v>214</v>
      </c>
      <c r="AO6" s="31">
        <v>232</v>
      </c>
      <c r="AP6" s="31">
        <v>237</v>
      </c>
      <c r="AQ6" s="32">
        <v>230</v>
      </c>
      <c r="AR6" s="30">
        <v>202</v>
      </c>
      <c r="AS6" s="31">
        <v>188</v>
      </c>
      <c r="AT6" s="31">
        <v>204</v>
      </c>
      <c r="AU6" s="31">
        <v>204</v>
      </c>
      <c r="AV6" s="31">
        <v>217</v>
      </c>
      <c r="AW6" s="31">
        <v>192</v>
      </c>
      <c r="AX6" s="31">
        <v>212</v>
      </c>
      <c r="AY6" s="31">
        <v>202</v>
      </c>
      <c r="AZ6" s="31">
        <v>245</v>
      </c>
      <c r="BA6" s="32">
        <v>219</v>
      </c>
      <c r="BB6" s="30">
        <v>197</v>
      </c>
      <c r="BC6" s="31">
        <v>243</v>
      </c>
      <c r="BD6" s="31">
        <v>265</v>
      </c>
      <c r="BE6" s="67">
        <v>227</v>
      </c>
      <c r="BF6" s="67">
        <v>256</v>
      </c>
      <c r="BG6" s="67">
        <v>261</v>
      </c>
      <c r="BH6" s="88">
        <v>245</v>
      </c>
      <c r="BI6" s="88">
        <v>241</v>
      </c>
      <c r="BJ6" s="88">
        <v>277</v>
      </c>
      <c r="BK6" s="89">
        <v>259</v>
      </c>
      <c r="BL6" s="87">
        <v>308</v>
      </c>
      <c r="BM6" s="88">
        <v>302</v>
      </c>
      <c r="BN6" s="88">
        <v>322</v>
      </c>
      <c r="BO6" s="5">
        <v>305</v>
      </c>
      <c r="BP6" s="5">
        <v>339</v>
      </c>
      <c r="BQ6" s="89">
        <v>284</v>
      </c>
    </row>
    <row r="7" spans="1:69" x14ac:dyDescent="0.2">
      <c r="A7" s="20" t="s">
        <v>5</v>
      </c>
      <c r="B7" s="21" t="s">
        <v>6</v>
      </c>
      <c r="C7" s="25"/>
      <c r="D7" s="30">
        <v>312</v>
      </c>
      <c r="E7" s="31">
        <v>341</v>
      </c>
      <c r="F7" s="31">
        <v>346</v>
      </c>
      <c r="G7" s="31">
        <v>397</v>
      </c>
      <c r="H7" s="31">
        <v>338</v>
      </c>
      <c r="I7" s="31">
        <v>372</v>
      </c>
      <c r="J7" s="31">
        <v>411</v>
      </c>
      <c r="K7" s="31">
        <v>410</v>
      </c>
      <c r="L7" s="31">
        <v>410</v>
      </c>
      <c r="M7" s="32">
        <v>445</v>
      </c>
      <c r="N7" s="30">
        <v>459</v>
      </c>
      <c r="O7" s="31">
        <v>438</v>
      </c>
      <c r="P7" s="31">
        <v>441</v>
      </c>
      <c r="Q7" s="31">
        <v>512</v>
      </c>
      <c r="R7" s="31">
        <v>466</v>
      </c>
      <c r="S7" s="31">
        <v>495</v>
      </c>
      <c r="T7" s="31">
        <v>509</v>
      </c>
      <c r="U7" s="31">
        <v>516</v>
      </c>
      <c r="V7" s="31">
        <v>519</v>
      </c>
      <c r="W7" s="32">
        <v>575</v>
      </c>
      <c r="X7" s="30">
        <v>587</v>
      </c>
      <c r="Y7" s="31">
        <v>528</v>
      </c>
      <c r="Z7" s="31">
        <v>567</v>
      </c>
      <c r="AA7" s="31">
        <v>538</v>
      </c>
      <c r="AB7" s="31">
        <v>679</v>
      </c>
      <c r="AC7" s="31">
        <v>609</v>
      </c>
      <c r="AD7" s="31">
        <v>630</v>
      </c>
      <c r="AE7" s="31">
        <v>652</v>
      </c>
      <c r="AF7" s="31">
        <v>671</v>
      </c>
      <c r="AG7" s="32">
        <v>690</v>
      </c>
      <c r="AH7" s="30">
        <v>711</v>
      </c>
      <c r="AI7" s="31">
        <v>762</v>
      </c>
      <c r="AJ7" s="31">
        <v>796</v>
      </c>
      <c r="AK7" s="31">
        <v>747</v>
      </c>
      <c r="AL7" s="31">
        <v>826</v>
      </c>
      <c r="AM7" s="31">
        <v>822</v>
      </c>
      <c r="AN7" s="31">
        <v>912</v>
      </c>
      <c r="AO7" s="31">
        <v>821</v>
      </c>
      <c r="AP7" s="31">
        <v>904</v>
      </c>
      <c r="AQ7" s="32">
        <v>836</v>
      </c>
      <c r="AR7" s="30">
        <v>989</v>
      </c>
      <c r="AS7" s="31">
        <v>1008</v>
      </c>
      <c r="AT7" s="31">
        <v>992</v>
      </c>
      <c r="AU7" s="31">
        <v>1041</v>
      </c>
      <c r="AV7" s="31">
        <v>1000</v>
      </c>
      <c r="AW7" s="31">
        <v>1038</v>
      </c>
      <c r="AX7" s="31">
        <v>1112</v>
      </c>
      <c r="AY7" s="31">
        <v>1179</v>
      </c>
      <c r="AZ7" s="31">
        <v>1177</v>
      </c>
      <c r="BA7" s="32">
        <v>1216</v>
      </c>
      <c r="BB7" s="30">
        <v>1235</v>
      </c>
      <c r="BC7" s="31">
        <v>1230</v>
      </c>
      <c r="BD7" s="31">
        <v>1288</v>
      </c>
      <c r="BE7" s="67">
        <v>1261</v>
      </c>
      <c r="BF7" s="67">
        <v>1364</v>
      </c>
      <c r="BG7" s="67">
        <v>1470</v>
      </c>
      <c r="BH7" s="88">
        <v>1430</v>
      </c>
      <c r="BI7" s="88">
        <v>1505</v>
      </c>
      <c r="BJ7" s="88">
        <v>1402</v>
      </c>
      <c r="BK7" s="89">
        <v>1568</v>
      </c>
      <c r="BL7" s="87">
        <v>1814</v>
      </c>
      <c r="BM7" s="88">
        <v>1948</v>
      </c>
      <c r="BN7" s="88">
        <v>1946</v>
      </c>
      <c r="BO7" s="5">
        <v>1716</v>
      </c>
      <c r="BP7" s="5">
        <v>1781</v>
      </c>
      <c r="BQ7" s="89">
        <v>1811</v>
      </c>
    </row>
    <row r="8" spans="1:69" x14ac:dyDescent="0.2">
      <c r="A8" s="20" t="s">
        <v>7</v>
      </c>
      <c r="B8" s="21" t="s">
        <v>8</v>
      </c>
      <c r="C8" s="25" t="s">
        <v>2</v>
      </c>
      <c r="D8" s="30">
        <v>383</v>
      </c>
      <c r="E8" s="31">
        <v>382</v>
      </c>
      <c r="F8" s="31">
        <v>391</v>
      </c>
      <c r="G8" s="31">
        <v>457</v>
      </c>
      <c r="H8" s="31">
        <v>416</v>
      </c>
      <c r="I8" s="31">
        <v>387</v>
      </c>
      <c r="J8" s="31">
        <v>446</v>
      </c>
      <c r="K8" s="31">
        <v>430</v>
      </c>
      <c r="L8" s="31">
        <v>426</v>
      </c>
      <c r="M8" s="32">
        <v>375</v>
      </c>
      <c r="N8" s="30">
        <v>447</v>
      </c>
      <c r="O8" s="31">
        <v>428</v>
      </c>
      <c r="P8" s="31">
        <v>457</v>
      </c>
      <c r="Q8" s="31">
        <v>406</v>
      </c>
      <c r="R8" s="31">
        <v>418</v>
      </c>
      <c r="S8" s="31">
        <v>439</v>
      </c>
      <c r="T8" s="31">
        <v>434</v>
      </c>
      <c r="U8" s="31">
        <v>429</v>
      </c>
      <c r="V8" s="31">
        <v>448</v>
      </c>
      <c r="W8" s="32">
        <v>503</v>
      </c>
      <c r="X8" s="30">
        <v>483</v>
      </c>
      <c r="Y8" s="31">
        <v>478</v>
      </c>
      <c r="Z8" s="31">
        <v>508</v>
      </c>
      <c r="AA8" s="31">
        <v>500</v>
      </c>
      <c r="AB8" s="31">
        <v>542</v>
      </c>
      <c r="AC8" s="31">
        <v>466</v>
      </c>
      <c r="AD8" s="31">
        <v>441</v>
      </c>
      <c r="AE8" s="31">
        <v>439</v>
      </c>
      <c r="AF8" s="31">
        <v>538</v>
      </c>
      <c r="AG8" s="32">
        <v>503</v>
      </c>
      <c r="AH8" s="30">
        <v>533</v>
      </c>
      <c r="AI8" s="31">
        <v>535</v>
      </c>
      <c r="AJ8" s="31">
        <v>562</v>
      </c>
      <c r="AK8" s="31">
        <v>520</v>
      </c>
      <c r="AL8" s="31">
        <v>570</v>
      </c>
      <c r="AM8" s="31">
        <v>583</v>
      </c>
      <c r="AN8" s="31">
        <v>559</v>
      </c>
      <c r="AO8" s="31">
        <v>552</v>
      </c>
      <c r="AP8" s="31">
        <v>564</v>
      </c>
      <c r="AQ8" s="32">
        <v>533</v>
      </c>
      <c r="AR8" s="30">
        <v>556</v>
      </c>
      <c r="AS8" s="31">
        <v>566</v>
      </c>
      <c r="AT8" s="31">
        <v>571</v>
      </c>
      <c r="AU8" s="31">
        <v>609</v>
      </c>
      <c r="AV8" s="31">
        <v>541</v>
      </c>
      <c r="AW8" s="31">
        <v>590</v>
      </c>
      <c r="AX8" s="31">
        <v>570</v>
      </c>
      <c r="AY8" s="31">
        <v>625</v>
      </c>
      <c r="AZ8" s="31">
        <v>636</v>
      </c>
      <c r="BA8" s="32">
        <v>614</v>
      </c>
      <c r="BB8" s="30">
        <v>604</v>
      </c>
      <c r="BC8" s="31">
        <v>665</v>
      </c>
      <c r="BD8" s="31">
        <v>680</v>
      </c>
      <c r="BE8" s="67">
        <v>674</v>
      </c>
      <c r="BF8" s="67">
        <v>710</v>
      </c>
      <c r="BG8" s="67">
        <v>702</v>
      </c>
      <c r="BH8" s="88">
        <v>646</v>
      </c>
      <c r="BI8" s="88">
        <v>707</v>
      </c>
      <c r="BJ8" s="88">
        <v>717</v>
      </c>
      <c r="BK8" s="89">
        <v>736</v>
      </c>
      <c r="BL8" s="87">
        <v>764</v>
      </c>
      <c r="BM8" s="88">
        <v>859</v>
      </c>
      <c r="BN8" s="88">
        <v>882</v>
      </c>
      <c r="BO8" s="5">
        <v>758</v>
      </c>
      <c r="BP8" s="5">
        <v>772</v>
      </c>
      <c r="BQ8" s="89">
        <v>760</v>
      </c>
    </row>
    <row r="9" spans="1:69" x14ac:dyDescent="0.2">
      <c r="A9" s="20" t="s">
        <v>9</v>
      </c>
      <c r="B9" s="21" t="s">
        <v>10</v>
      </c>
      <c r="C9" s="25" t="s">
        <v>2</v>
      </c>
      <c r="D9" s="30">
        <v>297</v>
      </c>
      <c r="E9" s="31">
        <v>283</v>
      </c>
      <c r="F9" s="31">
        <v>304</v>
      </c>
      <c r="G9" s="31">
        <v>294</v>
      </c>
      <c r="H9" s="31">
        <v>317</v>
      </c>
      <c r="I9" s="31">
        <v>358</v>
      </c>
      <c r="J9" s="31">
        <v>337</v>
      </c>
      <c r="K9" s="31">
        <v>360</v>
      </c>
      <c r="L9" s="31">
        <v>365</v>
      </c>
      <c r="M9" s="32">
        <v>393</v>
      </c>
      <c r="N9" s="30">
        <v>364</v>
      </c>
      <c r="O9" s="31">
        <v>366</v>
      </c>
      <c r="P9" s="31">
        <v>369</v>
      </c>
      <c r="Q9" s="31">
        <v>410</v>
      </c>
      <c r="R9" s="31">
        <v>444</v>
      </c>
      <c r="S9" s="31">
        <v>433</v>
      </c>
      <c r="T9" s="31">
        <v>421</v>
      </c>
      <c r="U9" s="31">
        <v>431</v>
      </c>
      <c r="V9" s="31">
        <v>466</v>
      </c>
      <c r="W9" s="32">
        <v>490</v>
      </c>
      <c r="X9" s="30">
        <v>488</v>
      </c>
      <c r="Y9" s="31">
        <v>482</v>
      </c>
      <c r="Z9" s="31">
        <v>483</v>
      </c>
      <c r="AA9" s="31">
        <v>523</v>
      </c>
      <c r="AB9" s="31">
        <v>545</v>
      </c>
      <c r="AC9" s="31">
        <v>540</v>
      </c>
      <c r="AD9" s="31">
        <v>515</v>
      </c>
      <c r="AE9" s="31">
        <v>614</v>
      </c>
      <c r="AF9" s="31">
        <v>556</v>
      </c>
      <c r="AG9" s="32">
        <v>597</v>
      </c>
      <c r="AH9" s="30">
        <v>614</v>
      </c>
      <c r="AI9" s="31">
        <v>656</v>
      </c>
      <c r="AJ9" s="31">
        <v>705</v>
      </c>
      <c r="AK9" s="31">
        <v>691</v>
      </c>
      <c r="AL9" s="31">
        <v>674</v>
      </c>
      <c r="AM9" s="31">
        <v>780</v>
      </c>
      <c r="AN9" s="31">
        <v>762</v>
      </c>
      <c r="AO9" s="31">
        <v>744</v>
      </c>
      <c r="AP9" s="31">
        <v>769</v>
      </c>
      <c r="AQ9" s="32">
        <v>803</v>
      </c>
      <c r="AR9" s="30">
        <v>725</v>
      </c>
      <c r="AS9" s="31">
        <v>785</v>
      </c>
      <c r="AT9" s="31">
        <v>831</v>
      </c>
      <c r="AU9" s="31">
        <v>838</v>
      </c>
      <c r="AV9" s="31">
        <v>819</v>
      </c>
      <c r="AW9" s="31">
        <v>825</v>
      </c>
      <c r="AX9" s="31">
        <v>888</v>
      </c>
      <c r="AY9" s="31">
        <v>928</v>
      </c>
      <c r="AZ9" s="31">
        <v>918</v>
      </c>
      <c r="BA9" s="32">
        <v>920</v>
      </c>
      <c r="BB9" s="30">
        <v>897</v>
      </c>
      <c r="BC9" s="31">
        <v>949</v>
      </c>
      <c r="BD9" s="31">
        <v>904</v>
      </c>
      <c r="BE9" s="67">
        <v>915</v>
      </c>
      <c r="BF9" s="67">
        <v>988</v>
      </c>
      <c r="BG9" s="67">
        <v>929</v>
      </c>
      <c r="BH9" s="88">
        <v>978</v>
      </c>
      <c r="BI9" s="88">
        <v>1020</v>
      </c>
      <c r="BJ9" s="88">
        <v>1080</v>
      </c>
      <c r="BK9" s="89">
        <v>1101</v>
      </c>
      <c r="BL9" s="87">
        <v>1104</v>
      </c>
      <c r="BM9" s="88">
        <v>1322</v>
      </c>
      <c r="BN9" s="88">
        <v>1238</v>
      </c>
      <c r="BO9" s="5">
        <v>1200</v>
      </c>
      <c r="BP9" s="5">
        <v>1250</v>
      </c>
      <c r="BQ9" s="89">
        <v>1188</v>
      </c>
    </row>
    <row r="10" spans="1:69" x14ac:dyDescent="0.2">
      <c r="A10" s="20" t="s">
        <v>11</v>
      </c>
      <c r="B10" s="21" t="s">
        <v>12</v>
      </c>
      <c r="C10" s="25" t="s">
        <v>2</v>
      </c>
      <c r="D10" s="30">
        <v>836</v>
      </c>
      <c r="E10" s="31">
        <v>905</v>
      </c>
      <c r="F10" s="31">
        <v>887</v>
      </c>
      <c r="G10" s="31">
        <v>908</v>
      </c>
      <c r="H10" s="31">
        <v>968</v>
      </c>
      <c r="I10" s="31">
        <v>967</v>
      </c>
      <c r="J10" s="31">
        <v>1025</v>
      </c>
      <c r="K10" s="31">
        <v>1051</v>
      </c>
      <c r="L10" s="31">
        <v>1040</v>
      </c>
      <c r="M10" s="32">
        <v>1088</v>
      </c>
      <c r="N10" s="30">
        <v>1075</v>
      </c>
      <c r="O10" s="31">
        <v>1137</v>
      </c>
      <c r="P10" s="31">
        <v>1208</v>
      </c>
      <c r="Q10" s="31">
        <v>1091</v>
      </c>
      <c r="R10" s="31">
        <v>1190</v>
      </c>
      <c r="S10" s="31">
        <v>1148</v>
      </c>
      <c r="T10" s="31">
        <v>1105</v>
      </c>
      <c r="U10" s="31">
        <v>1271</v>
      </c>
      <c r="V10" s="31">
        <v>1191</v>
      </c>
      <c r="W10" s="32">
        <v>1294</v>
      </c>
      <c r="X10" s="30">
        <v>1335</v>
      </c>
      <c r="Y10" s="31">
        <v>1352</v>
      </c>
      <c r="Z10" s="31">
        <v>1393</v>
      </c>
      <c r="AA10" s="31">
        <v>1402</v>
      </c>
      <c r="AB10" s="31">
        <v>1473</v>
      </c>
      <c r="AC10" s="31">
        <v>1460</v>
      </c>
      <c r="AD10" s="31">
        <v>1462</v>
      </c>
      <c r="AE10" s="31">
        <v>1547</v>
      </c>
      <c r="AF10" s="31">
        <v>1576</v>
      </c>
      <c r="AG10" s="32">
        <v>1576</v>
      </c>
      <c r="AH10" s="30">
        <v>1663</v>
      </c>
      <c r="AI10" s="31">
        <v>1763</v>
      </c>
      <c r="AJ10" s="31">
        <v>1838</v>
      </c>
      <c r="AK10" s="31">
        <v>1909</v>
      </c>
      <c r="AL10" s="31">
        <v>2007</v>
      </c>
      <c r="AM10" s="31">
        <v>1979</v>
      </c>
      <c r="AN10" s="31">
        <v>2143</v>
      </c>
      <c r="AO10" s="31">
        <v>2106</v>
      </c>
      <c r="AP10" s="31">
        <v>2198</v>
      </c>
      <c r="AQ10" s="32">
        <v>2274</v>
      </c>
      <c r="AR10" s="30">
        <v>2334</v>
      </c>
      <c r="AS10" s="31">
        <v>2348</v>
      </c>
      <c r="AT10" s="31">
        <v>2499</v>
      </c>
      <c r="AU10" s="31">
        <v>2517</v>
      </c>
      <c r="AV10" s="31">
        <v>2671</v>
      </c>
      <c r="AW10" s="31">
        <v>2644</v>
      </c>
      <c r="AX10" s="31">
        <v>2693</v>
      </c>
      <c r="AY10" s="31">
        <v>2696</v>
      </c>
      <c r="AZ10" s="31">
        <v>2753</v>
      </c>
      <c r="BA10" s="32">
        <v>2812</v>
      </c>
      <c r="BB10" s="30">
        <v>2937</v>
      </c>
      <c r="BC10" s="31">
        <v>2975</v>
      </c>
      <c r="BD10" s="31">
        <v>3107</v>
      </c>
      <c r="BE10" s="67">
        <v>3054</v>
      </c>
      <c r="BF10" s="67">
        <v>3335</v>
      </c>
      <c r="BG10" s="67">
        <v>3443</v>
      </c>
      <c r="BH10" s="88">
        <v>3392</v>
      </c>
      <c r="BI10" s="88">
        <v>3473</v>
      </c>
      <c r="BJ10" s="88">
        <v>3714</v>
      </c>
      <c r="BK10" s="89">
        <v>3834</v>
      </c>
      <c r="BL10" s="87">
        <v>4290</v>
      </c>
      <c r="BM10" s="88">
        <v>4770</v>
      </c>
      <c r="BN10" s="88">
        <v>4536</v>
      </c>
      <c r="BO10" s="5">
        <v>4424</v>
      </c>
      <c r="BP10" s="5">
        <v>4542</v>
      </c>
      <c r="BQ10" s="89">
        <v>4425</v>
      </c>
    </row>
    <row r="11" spans="1:69" x14ac:dyDescent="0.2">
      <c r="A11" s="20" t="s">
        <v>13</v>
      </c>
      <c r="B11" s="21" t="s">
        <v>14</v>
      </c>
      <c r="C11" s="25" t="s">
        <v>2</v>
      </c>
      <c r="D11" s="30">
        <v>50</v>
      </c>
      <c r="E11" s="31">
        <v>60</v>
      </c>
      <c r="F11" s="31">
        <v>64</v>
      </c>
      <c r="G11" s="31">
        <v>56</v>
      </c>
      <c r="H11" s="31">
        <v>58</v>
      </c>
      <c r="I11" s="31">
        <v>60</v>
      </c>
      <c r="J11" s="31">
        <v>66</v>
      </c>
      <c r="K11" s="31">
        <v>47</v>
      </c>
      <c r="L11" s="31">
        <v>50</v>
      </c>
      <c r="M11" s="32">
        <v>68</v>
      </c>
      <c r="N11" s="30">
        <v>68</v>
      </c>
      <c r="O11" s="31">
        <v>58</v>
      </c>
      <c r="P11" s="31">
        <v>51</v>
      </c>
      <c r="Q11" s="31">
        <v>40</v>
      </c>
      <c r="R11" s="31">
        <v>54</v>
      </c>
      <c r="S11" s="31">
        <v>56</v>
      </c>
      <c r="T11" s="31">
        <v>61</v>
      </c>
      <c r="U11" s="31">
        <v>58</v>
      </c>
      <c r="V11" s="31">
        <v>41</v>
      </c>
      <c r="W11" s="32">
        <v>51</v>
      </c>
      <c r="X11" s="30">
        <v>61</v>
      </c>
      <c r="Y11" s="31">
        <v>50</v>
      </c>
      <c r="Z11" s="31">
        <v>52</v>
      </c>
      <c r="AA11" s="31">
        <v>49</v>
      </c>
      <c r="AB11" s="31">
        <v>47</v>
      </c>
      <c r="AC11" s="31">
        <v>69</v>
      </c>
      <c r="AD11" s="31">
        <v>45</v>
      </c>
      <c r="AE11" s="31">
        <v>39</v>
      </c>
      <c r="AF11" s="31">
        <v>58</v>
      </c>
      <c r="AG11" s="32">
        <v>53</v>
      </c>
      <c r="AH11" s="30">
        <v>41</v>
      </c>
      <c r="AI11" s="31">
        <v>43</v>
      </c>
      <c r="AJ11" s="31">
        <v>52</v>
      </c>
      <c r="AK11" s="31">
        <v>42</v>
      </c>
      <c r="AL11" s="31">
        <v>67</v>
      </c>
      <c r="AM11" s="31">
        <v>46</v>
      </c>
      <c r="AN11" s="31">
        <v>52</v>
      </c>
      <c r="AO11" s="31">
        <v>45</v>
      </c>
      <c r="AP11" s="31">
        <v>57</v>
      </c>
      <c r="AQ11" s="32">
        <v>56</v>
      </c>
      <c r="AR11" s="30">
        <v>52</v>
      </c>
      <c r="AS11" s="31">
        <v>41</v>
      </c>
      <c r="AT11" s="31">
        <v>47</v>
      </c>
      <c r="AU11" s="31">
        <v>54</v>
      </c>
      <c r="AV11" s="31">
        <v>52</v>
      </c>
      <c r="AW11" s="31">
        <v>35</v>
      </c>
      <c r="AX11" s="31">
        <v>52</v>
      </c>
      <c r="AY11" s="31">
        <v>47</v>
      </c>
      <c r="AZ11" s="31">
        <v>39</v>
      </c>
      <c r="BA11" s="32">
        <v>46</v>
      </c>
      <c r="BB11" s="30">
        <v>64</v>
      </c>
      <c r="BC11" s="31">
        <v>50</v>
      </c>
      <c r="BD11" s="31">
        <v>36</v>
      </c>
      <c r="BE11" s="67">
        <v>52</v>
      </c>
      <c r="BF11" s="67">
        <v>71</v>
      </c>
      <c r="BG11" s="67">
        <v>47</v>
      </c>
      <c r="BH11" s="88">
        <v>61</v>
      </c>
      <c r="BI11" s="88">
        <v>61</v>
      </c>
      <c r="BJ11" s="88">
        <v>46</v>
      </c>
      <c r="BK11" s="89">
        <v>60</v>
      </c>
      <c r="BL11" s="87">
        <v>64</v>
      </c>
      <c r="BM11" s="88">
        <v>79</v>
      </c>
      <c r="BN11" s="88">
        <v>78</v>
      </c>
      <c r="BO11" s="5">
        <v>106</v>
      </c>
      <c r="BP11" s="5">
        <v>47</v>
      </c>
      <c r="BQ11" s="89">
        <v>51</v>
      </c>
    </row>
    <row r="12" spans="1:69" x14ac:dyDescent="0.2">
      <c r="A12" s="20" t="s">
        <v>15</v>
      </c>
      <c r="B12" s="21" t="s">
        <v>16</v>
      </c>
      <c r="C12" s="25"/>
      <c r="D12" s="30">
        <v>480</v>
      </c>
      <c r="E12" s="31">
        <v>491</v>
      </c>
      <c r="F12" s="31">
        <v>495</v>
      </c>
      <c r="G12" s="31">
        <v>572</v>
      </c>
      <c r="H12" s="31">
        <v>504</v>
      </c>
      <c r="I12" s="31">
        <v>558</v>
      </c>
      <c r="J12" s="31">
        <v>514</v>
      </c>
      <c r="K12" s="31">
        <v>556</v>
      </c>
      <c r="L12" s="31">
        <v>561</v>
      </c>
      <c r="M12" s="32">
        <v>615</v>
      </c>
      <c r="N12" s="30">
        <v>567</v>
      </c>
      <c r="O12" s="31">
        <v>589</v>
      </c>
      <c r="P12" s="31">
        <v>615</v>
      </c>
      <c r="Q12" s="31">
        <v>569</v>
      </c>
      <c r="R12" s="31">
        <v>558</v>
      </c>
      <c r="S12" s="31">
        <v>598</v>
      </c>
      <c r="T12" s="31">
        <v>596</v>
      </c>
      <c r="U12" s="31">
        <v>666</v>
      </c>
      <c r="V12" s="31">
        <v>633</v>
      </c>
      <c r="W12" s="32">
        <v>571</v>
      </c>
      <c r="X12" s="30">
        <v>684</v>
      </c>
      <c r="Y12" s="31">
        <v>582</v>
      </c>
      <c r="Z12" s="31">
        <v>658</v>
      </c>
      <c r="AA12" s="31">
        <v>687</v>
      </c>
      <c r="AB12" s="31">
        <v>655</v>
      </c>
      <c r="AC12" s="31">
        <v>635</v>
      </c>
      <c r="AD12" s="31">
        <v>672</v>
      </c>
      <c r="AE12" s="31">
        <v>767</v>
      </c>
      <c r="AF12" s="31">
        <v>719</v>
      </c>
      <c r="AG12" s="32">
        <v>688</v>
      </c>
      <c r="AH12" s="30">
        <v>706</v>
      </c>
      <c r="AI12" s="31">
        <v>783</v>
      </c>
      <c r="AJ12" s="31">
        <v>766</v>
      </c>
      <c r="AK12" s="31">
        <v>822</v>
      </c>
      <c r="AL12" s="31">
        <v>802</v>
      </c>
      <c r="AM12" s="31">
        <v>892</v>
      </c>
      <c r="AN12" s="31">
        <v>883</v>
      </c>
      <c r="AO12" s="31">
        <v>889</v>
      </c>
      <c r="AP12" s="31">
        <v>865</v>
      </c>
      <c r="AQ12" s="32">
        <v>916</v>
      </c>
      <c r="AR12" s="30">
        <v>909</v>
      </c>
      <c r="AS12" s="31">
        <v>923</v>
      </c>
      <c r="AT12" s="31">
        <v>955</v>
      </c>
      <c r="AU12" s="31">
        <v>949</v>
      </c>
      <c r="AV12" s="31">
        <v>985</v>
      </c>
      <c r="AW12" s="31">
        <v>1020</v>
      </c>
      <c r="AX12" s="31">
        <v>1020</v>
      </c>
      <c r="AY12" s="31">
        <v>1005</v>
      </c>
      <c r="AZ12" s="31">
        <v>1007</v>
      </c>
      <c r="BA12" s="32">
        <v>963</v>
      </c>
      <c r="BB12" s="30">
        <v>975</v>
      </c>
      <c r="BC12" s="31">
        <v>1025</v>
      </c>
      <c r="BD12" s="31">
        <v>1052</v>
      </c>
      <c r="BE12" s="67">
        <v>1102</v>
      </c>
      <c r="BF12" s="67">
        <v>1142</v>
      </c>
      <c r="BG12" s="67">
        <v>1104</v>
      </c>
      <c r="BH12" s="88">
        <v>1192</v>
      </c>
      <c r="BI12" s="88">
        <v>1243</v>
      </c>
      <c r="BJ12" s="88">
        <v>1172</v>
      </c>
      <c r="BK12" s="89">
        <v>1255</v>
      </c>
      <c r="BL12" s="87">
        <v>1336</v>
      </c>
      <c r="BM12" s="88">
        <v>1611</v>
      </c>
      <c r="BN12" s="88">
        <v>1347</v>
      </c>
      <c r="BO12" s="5">
        <v>1313</v>
      </c>
      <c r="BP12" s="5">
        <v>1409</v>
      </c>
      <c r="BQ12" s="89">
        <v>1387</v>
      </c>
    </row>
    <row r="13" spans="1:69" x14ac:dyDescent="0.2">
      <c r="A13" s="20" t="s">
        <v>17</v>
      </c>
      <c r="B13" s="21" t="s">
        <v>18</v>
      </c>
      <c r="C13" s="25" t="s">
        <v>2</v>
      </c>
      <c r="D13" s="30">
        <v>73</v>
      </c>
      <c r="E13" s="31">
        <v>82</v>
      </c>
      <c r="F13" s="31">
        <v>88</v>
      </c>
      <c r="G13" s="31">
        <v>98</v>
      </c>
      <c r="H13" s="31">
        <v>100</v>
      </c>
      <c r="I13" s="31">
        <v>120</v>
      </c>
      <c r="J13" s="31">
        <v>123</v>
      </c>
      <c r="K13" s="31">
        <v>133</v>
      </c>
      <c r="L13" s="31">
        <v>98</v>
      </c>
      <c r="M13" s="32">
        <v>113</v>
      </c>
      <c r="N13" s="30">
        <v>124</v>
      </c>
      <c r="O13" s="31">
        <v>107</v>
      </c>
      <c r="P13" s="31">
        <v>120</v>
      </c>
      <c r="Q13" s="31">
        <v>99</v>
      </c>
      <c r="R13" s="31">
        <v>117</v>
      </c>
      <c r="S13" s="31">
        <v>136</v>
      </c>
      <c r="T13" s="31">
        <v>145</v>
      </c>
      <c r="U13" s="31">
        <v>128</v>
      </c>
      <c r="V13" s="31">
        <v>144</v>
      </c>
      <c r="W13" s="32">
        <v>144</v>
      </c>
      <c r="X13" s="30">
        <v>140</v>
      </c>
      <c r="Y13" s="31">
        <v>144</v>
      </c>
      <c r="Z13" s="31">
        <v>149</v>
      </c>
      <c r="AA13" s="31">
        <v>156</v>
      </c>
      <c r="AB13" s="31">
        <v>169</v>
      </c>
      <c r="AC13" s="31">
        <v>154</v>
      </c>
      <c r="AD13" s="31">
        <v>170</v>
      </c>
      <c r="AE13" s="31">
        <v>178</v>
      </c>
      <c r="AF13" s="31">
        <v>206</v>
      </c>
      <c r="AG13" s="32">
        <v>214</v>
      </c>
      <c r="AH13" s="30">
        <v>196</v>
      </c>
      <c r="AI13" s="31">
        <v>154</v>
      </c>
      <c r="AJ13" s="31">
        <v>198</v>
      </c>
      <c r="AK13" s="31">
        <v>194</v>
      </c>
      <c r="AL13" s="31">
        <v>192</v>
      </c>
      <c r="AM13" s="31">
        <v>227</v>
      </c>
      <c r="AN13" s="31">
        <v>235</v>
      </c>
      <c r="AO13" s="31">
        <v>231</v>
      </c>
      <c r="AP13" s="31">
        <v>227</v>
      </c>
      <c r="AQ13" s="32">
        <v>238</v>
      </c>
      <c r="AR13" s="30">
        <v>236</v>
      </c>
      <c r="AS13" s="31">
        <v>232</v>
      </c>
      <c r="AT13" s="31">
        <v>263</v>
      </c>
      <c r="AU13" s="31">
        <v>265</v>
      </c>
      <c r="AV13" s="31">
        <v>285</v>
      </c>
      <c r="AW13" s="31">
        <v>245</v>
      </c>
      <c r="AX13" s="31">
        <v>249</v>
      </c>
      <c r="AY13" s="31">
        <v>287</v>
      </c>
      <c r="AZ13" s="31">
        <v>259</v>
      </c>
      <c r="BA13" s="32">
        <v>284</v>
      </c>
      <c r="BB13" s="30">
        <v>303</v>
      </c>
      <c r="BC13" s="31">
        <v>293</v>
      </c>
      <c r="BD13" s="31">
        <v>291</v>
      </c>
      <c r="BE13" s="67">
        <v>324</v>
      </c>
      <c r="BF13" s="67">
        <v>296</v>
      </c>
      <c r="BG13" s="67">
        <v>314</v>
      </c>
      <c r="BH13" s="88">
        <v>287</v>
      </c>
      <c r="BI13" s="88">
        <v>288</v>
      </c>
      <c r="BJ13" s="88">
        <v>318</v>
      </c>
      <c r="BK13" s="89">
        <v>332</v>
      </c>
      <c r="BL13" s="87">
        <v>348</v>
      </c>
      <c r="BM13" s="88">
        <v>399</v>
      </c>
      <c r="BN13" s="88">
        <v>379</v>
      </c>
      <c r="BO13" s="5">
        <v>335</v>
      </c>
      <c r="BP13" s="5">
        <v>339</v>
      </c>
      <c r="BQ13" s="89">
        <v>390</v>
      </c>
    </row>
    <row r="14" spans="1:69" x14ac:dyDescent="0.2">
      <c r="A14" s="20" t="s">
        <v>19</v>
      </c>
      <c r="B14" s="21" t="s">
        <v>20</v>
      </c>
      <c r="C14" s="25" t="s">
        <v>2</v>
      </c>
      <c r="D14" s="30">
        <v>41</v>
      </c>
      <c r="E14" s="31">
        <v>37</v>
      </c>
      <c r="F14" s="31">
        <v>45</v>
      </c>
      <c r="G14" s="31">
        <v>40</v>
      </c>
      <c r="H14" s="31">
        <v>41</v>
      </c>
      <c r="I14" s="31">
        <v>35</v>
      </c>
      <c r="J14" s="31">
        <v>40</v>
      </c>
      <c r="K14" s="31">
        <v>32</v>
      </c>
      <c r="L14" s="31">
        <v>32</v>
      </c>
      <c r="M14" s="32">
        <v>30</v>
      </c>
      <c r="N14" s="30">
        <v>26</v>
      </c>
      <c r="O14" s="31">
        <v>31</v>
      </c>
      <c r="P14" s="31">
        <v>30</v>
      </c>
      <c r="Q14" s="31">
        <v>36</v>
      </c>
      <c r="R14" s="31">
        <v>30</v>
      </c>
      <c r="S14" s="31">
        <v>33</v>
      </c>
      <c r="T14" s="31">
        <v>30</v>
      </c>
      <c r="U14" s="31">
        <v>47</v>
      </c>
      <c r="V14" s="31">
        <v>33</v>
      </c>
      <c r="W14" s="32">
        <v>41</v>
      </c>
      <c r="X14" s="30">
        <v>37</v>
      </c>
      <c r="Y14" s="31">
        <v>40</v>
      </c>
      <c r="Z14" s="31">
        <v>34</v>
      </c>
      <c r="AA14" s="31">
        <v>46</v>
      </c>
      <c r="AB14" s="31">
        <v>47</v>
      </c>
      <c r="AC14" s="31">
        <v>35</v>
      </c>
      <c r="AD14" s="31">
        <v>52</v>
      </c>
      <c r="AE14" s="31">
        <v>43</v>
      </c>
      <c r="AF14" s="31">
        <v>36</v>
      </c>
      <c r="AG14" s="32">
        <v>41</v>
      </c>
      <c r="AH14" s="30">
        <v>51</v>
      </c>
      <c r="AI14" s="31">
        <v>47</v>
      </c>
      <c r="AJ14" s="31">
        <v>48</v>
      </c>
      <c r="AK14" s="31">
        <v>72</v>
      </c>
      <c r="AL14" s="31">
        <v>60</v>
      </c>
      <c r="AM14" s="31">
        <v>58</v>
      </c>
      <c r="AN14" s="31">
        <v>80</v>
      </c>
      <c r="AO14" s="31">
        <v>65</v>
      </c>
      <c r="AP14" s="31">
        <v>58</v>
      </c>
      <c r="AQ14" s="32">
        <v>69</v>
      </c>
      <c r="AR14" s="30">
        <v>46</v>
      </c>
      <c r="AS14" s="31">
        <v>50</v>
      </c>
      <c r="AT14" s="31">
        <v>53</v>
      </c>
      <c r="AU14" s="31">
        <v>65</v>
      </c>
      <c r="AV14" s="31">
        <v>87</v>
      </c>
      <c r="AW14" s="31">
        <v>83</v>
      </c>
      <c r="AX14" s="31">
        <v>65</v>
      </c>
      <c r="AY14" s="31">
        <v>94</v>
      </c>
      <c r="AZ14" s="31">
        <v>63</v>
      </c>
      <c r="BA14" s="32">
        <v>74</v>
      </c>
      <c r="BB14" s="30">
        <v>84</v>
      </c>
      <c r="BC14" s="31">
        <v>86</v>
      </c>
      <c r="BD14" s="31">
        <v>86</v>
      </c>
      <c r="BE14" s="67">
        <v>82</v>
      </c>
      <c r="BF14" s="67">
        <v>83</v>
      </c>
      <c r="BG14" s="67">
        <v>82</v>
      </c>
      <c r="BH14" s="88">
        <v>80</v>
      </c>
      <c r="BI14" s="88">
        <v>86</v>
      </c>
      <c r="BJ14" s="88">
        <v>93</v>
      </c>
      <c r="BK14" s="89">
        <v>84</v>
      </c>
      <c r="BL14" s="87">
        <v>98</v>
      </c>
      <c r="BM14" s="88">
        <v>152</v>
      </c>
      <c r="BN14" s="88">
        <v>104</v>
      </c>
      <c r="BO14" s="5">
        <v>132</v>
      </c>
      <c r="BP14" s="5">
        <v>105</v>
      </c>
      <c r="BQ14" s="89">
        <v>99</v>
      </c>
    </row>
    <row r="15" spans="1:69" x14ac:dyDescent="0.2">
      <c r="A15" s="20" t="s">
        <v>21</v>
      </c>
      <c r="B15" s="21" t="s">
        <v>22</v>
      </c>
      <c r="C15" s="25" t="s">
        <v>2</v>
      </c>
      <c r="D15" s="30">
        <v>153</v>
      </c>
      <c r="E15" s="31">
        <v>176</v>
      </c>
      <c r="F15" s="31">
        <v>147</v>
      </c>
      <c r="G15" s="31">
        <v>143</v>
      </c>
      <c r="H15" s="31">
        <v>153</v>
      </c>
      <c r="I15" s="31">
        <v>180</v>
      </c>
      <c r="J15" s="31">
        <v>184</v>
      </c>
      <c r="K15" s="31">
        <v>192</v>
      </c>
      <c r="L15" s="31">
        <v>177</v>
      </c>
      <c r="M15" s="32">
        <v>166</v>
      </c>
      <c r="N15" s="30">
        <v>204</v>
      </c>
      <c r="O15" s="31">
        <v>211</v>
      </c>
      <c r="P15" s="31">
        <v>201</v>
      </c>
      <c r="Q15" s="31">
        <v>209</v>
      </c>
      <c r="R15" s="31">
        <v>190</v>
      </c>
      <c r="S15" s="31">
        <v>224</v>
      </c>
      <c r="T15" s="31">
        <v>204</v>
      </c>
      <c r="U15" s="31">
        <v>216</v>
      </c>
      <c r="V15" s="31">
        <v>229</v>
      </c>
      <c r="W15" s="32">
        <v>211</v>
      </c>
      <c r="X15" s="30">
        <v>210</v>
      </c>
      <c r="Y15" s="31">
        <v>231</v>
      </c>
      <c r="Z15" s="31">
        <v>209</v>
      </c>
      <c r="AA15" s="31">
        <v>218</v>
      </c>
      <c r="AB15" s="31">
        <v>239</v>
      </c>
      <c r="AC15" s="31">
        <v>230</v>
      </c>
      <c r="AD15" s="31">
        <v>243</v>
      </c>
      <c r="AE15" s="31">
        <v>258</v>
      </c>
      <c r="AF15" s="31">
        <v>273</v>
      </c>
      <c r="AG15" s="32">
        <v>247</v>
      </c>
      <c r="AH15" s="30">
        <v>252</v>
      </c>
      <c r="AI15" s="31">
        <v>282</v>
      </c>
      <c r="AJ15" s="31">
        <v>235</v>
      </c>
      <c r="AK15" s="31">
        <v>282</v>
      </c>
      <c r="AL15" s="31">
        <v>275</v>
      </c>
      <c r="AM15" s="31">
        <v>271</v>
      </c>
      <c r="AN15" s="31">
        <v>286</v>
      </c>
      <c r="AO15" s="31">
        <v>286</v>
      </c>
      <c r="AP15" s="31">
        <v>297</v>
      </c>
      <c r="AQ15" s="32">
        <v>289</v>
      </c>
      <c r="AR15" s="30">
        <v>314</v>
      </c>
      <c r="AS15" s="31">
        <v>299</v>
      </c>
      <c r="AT15" s="31">
        <v>293</v>
      </c>
      <c r="AU15" s="31">
        <v>270</v>
      </c>
      <c r="AV15" s="31">
        <v>286</v>
      </c>
      <c r="AW15" s="31">
        <v>289</v>
      </c>
      <c r="AX15" s="31">
        <v>312</v>
      </c>
      <c r="AY15" s="31">
        <v>303</v>
      </c>
      <c r="AZ15" s="31">
        <v>352</v>
      </c>
      <c r="BA15" s="32">
        <v>366</v>
      </c>
      <c r="BB15" s="30">
        <v>347</v>
      </c>
      <c r="BC15" s="31">
        <v>370</v>
      </c>
      <c r="BD15" s="31">
        <v>362</v>
      </c>
      <c r="BE15" s="67">
        <v>348</v>
      </c>
      <c r="BF15" s="67">
        <v>363</v>
      </c>
      <c r="BG15" s="67">
        <v>374</v>
      </c>
      <c r="BH15" s="88">
        <v>383</v>
      </c>
      <c r="BI15" s="88">
        <v>391</v>
      </c>
      <c r="BJ15" s="88">
        <v>446</v>
      </c>
      <c r="BK15" s="89">
        <v>422</v>
      </c>
      <c r="BL15" s="87">
        <v>541</v>
      </c>
      <c r="BM15" s="88">
        <v>585</v>
      </c>
      <c r="BN15" s="88">
        <v>557</v>
      </c>
      <c r="BO15" s="5">
        <v>517</v>
      </c>
      <c r="BP15" s="5">
        <v>567</v>
      </c>
      <c r="BQ15" s="89">
        <v>532</v>
      </c>
    </row>
    <row r="16" spans="1:69" x14ac:dyDescent="0.2">
      <c r="A16" s="20" t="s">
        <v>23</v>
      </c>
      <c r="B16" s="21" t="s">
        <v>24</v>
      </c>
      <c r="C16" s="25" t="s">
        <v>2</v>
      </c>
      <c r="D16" s="30">
        <v>37</v>
      </c>
      <c r="E16" s="31">
        <v>32</v>
      </c>
      <c r="F16" s="31">
        <v>38</v>
      </c>
      <c r="G16" s="31">
        <v>22</v>
      </c>
      <c r="H16" s="31">
        <v>31</v>
      </c>
      <c r="I16" s="31">
        <v>30</v>
      </c>
      <c r="J16" s="31">
        <v>36</v>
      </c>
      <c r="K16" s="31">
        <v>32</v>
      </c>
      <c r="L16" s="31">
        <v>34</v>
      </c>
      <c r="M16" s="32">
        <v>36</v>
      </c>
      <c r="N16" s="30">
        <v>27</v>
      </c>
      <c r="O16" s="31">
        <v>38</v>
      </c>
      <c r="P16" s="31">
        <v>41</v>
      </c>
      <c r="Q16" s="31">
        <v>25</v>
      </c>
      <c r="R16" s="31">
        <v>24</v>
      </c>
      <c r="S16" s="31">
        <v>32</v>
      </c>
      <c r="T16" s="31">
        <v>29</v>
      </c>
      <c r="U16" s="31">
        <v>28</v>
      </c>
      <c r="V16" s="31">
        <v>21</v>
      </c>
      <c r="W16" s="32">
        <v>21</v>
      </c>
      <c r="X16" s="30">
        <v>29</v>
      </c>
      <c r="Y16" s="31">
        <v>20</v>
      </c>
      <c r="Z16" s="31">
        <v>35</v>
      </c>
      <c r="AA16" s="31">
        <v>32</v>
      </c>
      <c r="AB16" s="31">
        <v>30</v>
      </c>
      <c r="AC16" s="31">
        <v>28</v>
      </c>
      <c r="AD16" s="31">
        <v>24</v>
      </c>
      <c r="AE16" s="31">
        <v>32</v>
      </c>
      <c r="AF16" s="31">
        <v>23</v>
      </c>
      <c r="AG16" s="32">
        <v>38</v>
      </c>
      <c r="AH16" s="30">
        <v>33</v>
      </c>
      <c r="AI16" s="31">
        <v>23</v>
      </c>
      <c r="AJ16" s="31">
        <v>30</v>
      </c>
      <c r="AK16" s="31">
        <v>31</v>
      </c>
      <c r="AL16" s="31">
        <v>48</v>
      </c>
      <c r="AM16" s="31">
        <v>31</v>
      </c>
      <c r="AN16" s="31">
        <v>32</v>
      </c>
      <c r="AO16" s="31">
        <v>32</v>
      </c>
      <c r="AP16" s="31">
        <v>28</v>
      </c>
      <c r="AQ16" s="32">
        <v>29</v>
      </c>
      <c r="AR16" s="30">
        <v>30</v>
      </c>
      <c r="AS16" s="31">
        <v>35</v>
      </c>
      <c r="AT16" s="31">
        <v>19</v>
      </c>
      <c r="AU16" s="31">
        <v>24</v>
      </c>
      <c r="AV16" s="31">
        <v>28</v>
      </c>
      <c r="AW16" s="31">
        <v>25</v>
      </c>
      <c r="AX16" s="31">
        <v>29</v>
      </c>
      <c r="AY16" s="31">
        <v>19</v>
      </c>
      <c r="AZ16" s="31">
        <v>34</v>
      </c>
      <c r="BA16" s="32">
        <v>26</v>
      </c>
      <c r="BB16" s="30">
        <v>24</v>
      </c>
      <c r="BC16" s="31">
        <v>36</v>
      </c>
      <c r="BD16" s="31">
        <v>29</v>
      </c>
      <c r="BE16" s="67">
        <v>24</v>
      </c>
      <c r="BF16" s="67">
        <v>16</v>
      </c>
      <c r="BG16" s="67">
        <v>29</v>
      </c>
      <c r="BH16" s="88">
        <v>21</v>
      </c>
      <c r="BI16" s="88">
        <v>33</v>
      </c>
      <c r="BJ16" s="88">
        <v>28</v>
      </c>
      <c r="BK16" s="89">
        <v>25</v>
      </c>
      <c r="BL16" s="87">
        <v>31</v>
      </c>
      <c r="BM16" s="88">
        <v>34</v>
      </c>
      <c r="BN16" s="88">
        <v>27</v>
      </c>
      <c r="BO16" s="5">
        <v>34</v>
      </c>
      <c r="BP16" s="5">
        <v>32</v>
      </c>
      <c r="BQ16" s="89">
        <v>40</v>
      </c>
    </row>
    <row r="17" spans="1:69" x14ac:dyDescent="0.2">
      <c r="A17" s="20" t="s">
        <v>25</v>
      </c>
      <c r="B17" s="21" t="s">
        <v>26</v>
      </c>
      <c r="C17" s="25"/>
      <c r="D17" s="30">
        <v>244</v>
      </c>
      <c r="E17" s="31">
        <v>299</v>
      </c>
      <c r="F17" s="31">
        <v>264</v>
      </c>
      <c r="G17" s="31">
        <v>268</v>
      </c>
      <c r="H17" s="31">
        <v>262</v>
      </c>
      <c r="I17" s="31">
        <v>281</v>
      </c>
      <c r="J17" s="31">
        <v>246</v>
      </c>
      <c r="K17" s="31">
        <v>285</v>
      </c>
      <c r="L17" s="31">
        <v>309</v>
      </c>
      <c r="M17" s="32">
        <v>289</v>
      </c>
      <c r="N17" s="30">
        <v>279</v>
      </c>
      <c r="O17" s="31">
        <v>326</v>
      </c>
      <c r="P17" s="31">
        <v>322</v>
      </c>
      <c r="Q17" s="31">
        <v>313</v>
      </c>
      <c r="R17" s="31">
        <v>337</v>
      </c>
      <c r="S17" s="31">
        <v>316</v>
      </c>
      <c r="T17" s="31">
        <v>326</v>
      </c>
      <c r="U17" s="31">
        <v>326</v>
      </c>
      <c r="V17" s="31">
        <v>329</v>
      </c>
      <c r="W17" s="32">
        <v>349</v>
      </c>
      <c r="X17" s="30">
        <v>335</v>
      </c>
      <c r="Y17" s="31">
        <v>349</v>
      </c>
      <c r="Z17" s="31">
        <v>355</v>
      </c>
      <c r="AA17" s="31">
        <v>387</v>
      </c>
      <c r="AB17" s="31">
        <v>345</v>
      </c>
      <c r="AC17" s="31">
        <v>396</v>
      </c>
      <c r="AD17" s="31">
        <v>367</v>
      </c>
      <c r="AE17" s="31">
        <v>385</v>
      </c>
      <c r="AF17" s="31">
        <v>433</v>
      </c>
      <c r="AG17" s="32">
        <v>410</v>
      </c>
      <c r="AH17" s="30">
        <v>444</v>
      </c>
      <c r="AI17" s="31">
        <v>395</v>
      </c>
      <c r="AJ17" s="31">
        <v>451</v>
      </c>
      <c r="AK17" s="31">
        <v>486</v>
      </c>
      <c r="AL17" s="31">
        <v>518</v>
      </c>
      <c r="AM17" s="31">
        <v>524</v>
      </c>
      <c r="AN17" s="31">
        <v>570</v>
      </c>
      <c r="AO17" s="31">
        <v>499</v>
      </c>
      <c r="AP17" s="31">
        <v>518</v>
      </c>
      <c r="AQ17" s="32">
        <v>550</v>
      </c>
      <c r="AR17" s="30">
        <v>508</v>
      </c>
      <c r="AS17" s="31">
        <v>527</v>
      </c>
      <c r="AT17" s="31">
        <v>586</v>
      </c>
      <c r="AU17" s="31">
        <v>573</v>
      </c>
      <c r="AV17" s="31">
        <v>584</v>
      </c>
      <c r="AW17" s="31">
        <v>553</v>
      </c>
      <c r="AX17" s="31">
        <v>624</v>
      </c>
      <c r="AY17" s="31">
        <v>558</v>
      </c>
      <c r="AZ17" s="31">
        <v>600</v>
      </c>
      <c r="BA17" s="32">
        <v>603</v>
      </c>
      <c r="BB17" s="30">
        <v>661</v>
      </c>
      <c r="BC17" s="31">
        <v>659</v>
      </c>
      <c r="BD17" s="31">
        <v>661</v>
      </c>
      <c r="BE17" s="67">
        <v>664</v>
      </c>
      <c r="BF17" s="67">
        <v>663</v>
      </c>
      <c r="BG17" s="67">
        <v>660</v>
      </c>
      <c r="BH17" s="88">
        <v>700</v>
      </c>
      <c r="BI17" s="88">
        <v>734</v>
      </c>
      <c r="BJ17" s="88">
        <v>696</v>
      </c>
      <c r="BK17" s="89">
        <v>702</v>
      </c>
      <c r="BL17" s="87">
        <v>848</v>
      </c>
      <c r="BM17" s="88">
        <v>939</v>
      </c>
      <c r="BN17" s="88">
        <v>877</v>
      </c>
      <c r="BO17" s="5">
        <v>872</v>
      </c>
      <c r="BP17" s="5">
        <v>800</v>
      </c>
      <c r="BQ17" s="89">
        <v>878</v>
      </c>
    </row>
    <row r="18" spans="1:69" x14ac:dyDescent="0.2">
      <c r="A18" s="20" t="s">
        <v>27</v>
      </c>
      <c r="B18" s="21" t="s">
        <v>28</v>
      </c>
      <c r="C18" s="25" t="s">
        <v>2</v>
      </c>
      <c r="D18" s="30">
        <v>605</v>
      </c>
      <c r="E18" s="31">
        <v>678</v>
      </c>
      <c r="F18" s="31">
        <v>623</v>
      </c>
      <c r="G18" s="31">
        <v>686</v>
      </c>
      <c r="H18" s="31">
        <v>693</v>
      </c>
      <c r="I18" s="31">
        <v>693</v>
      </c>
      <c r="J18" s="31">
        <v>654</v>
      </c>
      <c r="K18" s="31">
        <v>697</v>
      </c>
      <c r="L18" s="31">
        <v>738</v>
      </c>
      <c r="M18" s="32">
        <v>690</v>
      </c>
      <c r="N18" s="30">
        <v>665</v>
      </c>
      <c r="O18" s="31">
        <v>681</v>
      </c>
      <c r="P18" s="31">
        <v>663</v>
      </c>
      <c r="Q18" s="31">
        <v>670</v>
      </c>
      <c r="R18" s="31">
        <v>707</v>
      </c>
      <c r="S18" s="31">
        <v>657</v>
      </c>
      <c r="T18" s="31">
        <v>635</v>
      </c>
      <c r="U18" s="31">
        <v>666</v>
      </c>
      <c r="V18" s="31">
        <v>579</v>
      </c>
      <c r="W18" s="32">
        <v>618</v>
      </c>
      <c r="X18" s="30">
        <v>665</v>
      </c>
      <c r="Y18" s="31">
        <v>652</v>
      </c>
      <c r="Z18" s="31">
        <v>629</v>
      </c>
      <c r="AA18" s="31">
        <v>624</v>
      </c>
      <c r="AB18" s="31">
        <v>665</v>
      </c>
      <c r="AC18" s="31">
        <v>679</v>
      </c>
      <c r="AD18" s="31">
        <v>658</v>
      </c>
      <c r="AE18" s="31">
        <v>735</v>
      </c>
      <c r="AF18" s="31">
        <v>740</v>
      </c>
      <c r="AG18" s="32">
        <v>700</v>
      </c>
      <c r="AH18" s="30">
        <v>737</v>
      </c>
      <c r="AI18" s="31">
        <v>733</v>
      </c>
      <c r="AJ18" s="31">
        <v>725</v>
      </c>
      <c r="AK18" s="31">
        <v>733</v>
      </c>
      <c r="AL18" s="31">
        <v>729</v>
      </c>
      <c r="AM18" s="31">
        <v>714</v>
      </c>
      <c r="AN18" s="31">
        <v>741</v>
      </c>
      <c r="AO18" s="31">
        <v>789</v>
      </c>
      <c r="AP18" s="31">
        <v>713</v>
      </c>
      <c r="AQ18" s="32">
        <v>776</v>
      </c>
      <c r="AR18" s="30">
        <v>812</v>
      </c>
      <c r="AS18" s="31">
        <v>830</v>
      </c>
      <c r="AT18" s="31">
        <v>744</v>
      </c>
      <c r="AU18" s="31">
        <v>784</v>
      </c>
      <c r="AV18" s="31">
        <v>807</v>
      </c>
      <c r="AW18" s="31">
        <v>724</v>
      </c>
      <c r="AX18" s="31">
        <v>752</v>
      </c>
      <c r="AY18" s="31">
        <v>805</v>
      </c>
      <c r="AZ18" s="31">
        <v>811</v>
      </c>
      <c r="BA18" s="32">
        <v>724</v>
      </c>
      <c r="BB18" s="30">
        <v>790</v>
      </c>
      <c r="BC18" s="31">
        <v>739</v>
      </c>
      <c r="BD18" s="31">
        <v>862</v>
      </c>
      <c r="BE18" s="67">
        <v>761</v>
      </c>
      <c r="BF18" s="67">
        <v>826</v>
      </c>
      <c r="BG18" s="67">
        <v>817</v>
      </c>
      <c r="BH18" s="88">
        <v>812</v>
      </c>
      <c r="BI18" s="88">
        <v>894</v>
      </c>
      <c r="BJ18" s="88">
        <v>879</v>
      </c>
      <c r="BK18" s="89">
        <v>923</v>
      </c>
      <c r="BL18" s="87">
        <v>967</v>
      </c>
      <c r="BM18" s="88">
        <v>1177</v>
      </c>
      <c r="BN18" s="88">
        <v>1145</v>
      </c>
      <c r="BO18" s="5">
        <v>1049</v>
      </c>
      <c r="BP18" s="5">
        <v>1112</v>
      </c>
      <c r="BQ18" s="89">
        <v>1085</v>
      </c>
    </row>
    <row r="19" spans="1:69" x14ac:dyDescent="0.2">
      <c r="A19" s="20" t="s">
        <v>29</v>
      </c>
      <c r="B19" s="21" t="s">
        <v>30</v>
      </c>
      <c r="C19" s="25" t="s">
        <v>2</v>
      </c>
      <c r="D19" s="30">
        <v>148</v>
      </c>
      <c r="E19" s="31">
        <v>140</v>
      </c>
      <c r="F19" s="31">
        <v>144</v>
      </c>
      <c r="G19" s="31">
        <v>148</v>
      </c>
      <c r="H19" s="31">
        <v>149</v>
      </c>
      <c r="I19" s="31">
        <v>158</v>
      </c>
      <c r="J19" s="31">
        <v>170</v>
      </c>
      <c r="K19" s="31">
        <v>177</v>
      </c>
      <c r="L19" s="31">
        <v>174</v>
      </c>
      <c r="M19" s="32">
        <v>161</v>
      </c>
      <c r="N19" s="30">
        <v>197</v>
      </c>
      <c r="O19" s="31">
        <v>211</v>
      </c>
      <c r="P19" s="31">
        <v>205</v>
      </c>
      <c r="Q19" s="31">
        <v>235</v>
      </c>
      <c r="R19" s="31">
        <v>211</v>
      </c>
      <c r="S19" s="31">
        <v>206</v>
      </c>
      <c r="T19" s="31">
        <v>238</v>
      </c>
      <c r="U19" s="31">
        <v>277</v>
      </c>
      <c r="V19" s="31">
        <v>263</v>
      </c>
      <c r="W19" s="32">
        <v>294</v>
      </c>
      <c r="X19" s="30">
        <v>330</v>
      </c>
      <c r="Y19" s="31">
        <v>271</v>
      </c>
      <c r="Z19" s="31">
        <v>316</v>
      </c>
      <c r="AA19" s="31">
        <v>356</v>
      </c>
      <c r="AB19" s="31">
        <v>350</v>
      </c>
      <c r="AC19" s="31">
        <v>381</v>
      </c>
      <c r="AD19" s="31">
        <v>380</v>
      </c>
      <c r="AE19" s="31">
        <v>406</v>
      </c>
      <c r="AF19" s="31">
        <v>403</v>
      </c>
      <c r="AG19" s="32">
        <v>408</v>
      </c>
      <c r="AH19" s="30">
        <v>406</v>
      </c>
      <c r="AI19" s="31">
        <v>428</v>
      </c>
      <c r="AJ19" s="31">
        <v>426</v>
      </c>
      <c r="AK19" s="31">
        <v>443</v>
      </c>
      <c r="AL19" s="31">
        <v>469</v>
      </c>
      <c r="AM19" s="31">
        <v>464</v>
      </c>
      <c r="AN19" s="31">
        <v>456</v>
      </c>
      <c r="AO19" s="31">
        <v>518</v>
      </c>
      <c r="AP19" s="31">
        <v>567</v>
      </c>
      <c r="AQ19" s="32">
        <v>502</v>
      </c>
      <c r="AR19" s="30">
        <v>544</v>
      </c>
      <c r="AS19" s="31">
        <v>556</v>
      </c>
      <c r="AT19" s="31">
        <v>570</v>
      </c>
      <c r="AU19" s="31">
        <v>629</v>
      </c>
      <c r="AV19" s="31">
        <v>587</v>
      </c>
      <c r="AW19" s="31">
        <v>590</v>
      </c>
      <c r="AX19" s="31">
        <v>590</v>
      </c>
      <c r="AY19" s="31">
        <v>623</v>
      </c>
      <c r="AZ19" s="31">
        <v>671</v>
      </c>
      <c r="BA19" s="32">
        <v>581</v>
      </c>
      <c r="BB19" s="30">
        <v>628</v>
      </c>
      <c r="BC19" s="31">
        <v>635</v>
      </c>
      <c r="BD19" s="31">
        <v>646</v>
      </c>
      <c r="BE19" s="67">
        <v>661</v>
      </c>
      <c r="BF19" s="67">
        <v>681</v>
      </c>
      <c r="BG19" s="67">
        <v>743</v>
      </c>
      <c r="BH19" s="88">
        <v>761</v>
      </c>
      <c r="BI19" s="88">
        <v>779</v>
      </c>
      <c r="BJ19" s="88">
        <v>827</v>
      </c>
      <c r="BK19" s="89">
        <v>808</v>
      </c>
      <c r="BL19" s="87">
        <v>867</v>
      </c>
      <c r="BM19" s="88">
        <v>873</v>
      </c>
      <c r="BN19" s="88">
        <v>954</v>
      </c>
      <c r="BO19" s="5">
        <v>862</v>
      </c>
      <c r="BP19" s="5">
        <v>904</v>
      </c>
      <c r="BQ19" s="89">
        <v>882</v>
      </c>
    </row>
    <row r="20" spans="1:69" x14ac:dyDescent="0.2">
      <c r="A20" s="20" t="s">
        <v>31</v>
      </c>
      <c r="B20" s="21" t="s">
        <v>32</v>
      </c>
      <c r="C20" s="25" t="s">
        <v>2</v>
      </c>
      <c r="D20" s="30">
        <v>112</v>
      </c>
      <c r="E20" s="31">
        <v>98</v>
      </c>
      <c r="F20" s="31">
        <v>98</v>
      </c>
      <c r="G20" s="31">
        <v>95</v>
      </c>
      <c r="H20" s="31">
        <v>92</v>
      </c>
      <c r="I20" s="31">
        <v>96</v>
      </c>
      <c r="J20" s="31">
        <v>109</v>
      </c>
      <c r="K20" s="31">
        <v>107</v>
      </c>
      <c r="L20" s="31">
        <v>112</v>
      </c>
      <c r="M20" s="32">
        <v>112</v>
      </c>
      <c r="N20" s="30">
        <v>131</v>
      </c>
      <c r="O20" s="31">
        <v>116</v>
      </c>
      <c r="P20" s="31">
        <v>116</v>
      </c>
      <c r="Q20" s="31">
        <v>115</v>
      </c>
      <c r="R20" s="31">
        <v>125</v>
      </c>
      <c r="S20" s="31">
        <v>145</v>
      </c>
      <c r="T20" s="31">
        <v>117</v>
      </c>
      <c r="U20" s="31">
        <v>135</v>
      </c>
      <c r="V20" s="31">
        <v>121</v>
      </c>
      <c r="W20" s="32">
        <v>141</v>
      </c>
      <c r="X20" s="30">
        <v>145</v>
      </c>
      <c r="Y20" s="31">
        <v>147</v>
      </c>
      <c r="Z20" s="31">
        <v>186</v>
      </c>
      <c r="AA20" s="31">
        <v>146</v>
      </c>
      <c r="AB20" s="31">
        <v>173</v>
      </c>
      <c r="AC20" s="31">
        <v>142</v>
      </c>
      <c r="AD20" s="31">
        <v>186</v>
      </c>
      <c r="AE20" s="31">
        <v>176</v>
      </c>
      <c r="AF20" s="31">
        <v>226</v>
      </c>
      <c r="AG20" s="32">
        <v>212</v>
      </c>
      <c r="AH20" s="30">
        <v>209</v>
      </c>
      <c r="AI20" s="31">
        <v>185</v>
      </c>
      <c r="AJ20" s="31">
        <v>224</v>
      </c>
      <c r="AK20" s="31">
        <v>225</v>
      </c>
      <c r="AL20" s="31">
        <v>249</v>
      </c>
      <c r="AM20" s="31">
        <v>262</v>
      </c>
      <c r="AN20" s="31">
        <v>261</v>
      </c>
      <c r="AO20" s="31">
        <v>249</v>
      </c>
      <c r="AP20" s="31">
        <v>295</v>
      </c>
      <c r="AQ20" s="32">
        <v>279</v>
      </c>
      <c r="AR20" s="30">
        <v>261</v>
      </c>
      <c r="AS20" s="31">
        <v>258</v>
      </c>
      <c r="AT20" s="31">
        <v>284</v>
      </c>
      <c r="AU20" s="31">
        <v>308</v>
      </c>
      <c r="AV20" s="31">
        <v>286</v>
      </c>
      <c r="AW20" s="31">
        <v>303</v>
      </c>
      <c r="AX20" s="31">
        <v>305</v>
      </c>
      <c r="AY20" s="31">
        <v>307</v>
      </c>
      <c r="AZ20" s="31">
        <v>345</v>
      </c>
      <c r="BA20" s="32">
        <v>306</v>
      </c>
      <c r="BB20" s="30">
        <v>364</v>
      </c>
      <c r="BC20" s="31">
        <v>332</v>
      </c>
      <c r="BD20" s="31">
        <v>321</v>
      </c>
      <c r="BE20" s="67">
        <v>324</v>
      </c>
      <c r="BF20" s="67">
        <v>344</v>
      </c>
      <c r="BG20" s="67">
        <v>387</v>
      </c>
      <c r="BH20" s="88">
        <v>371</v>
      </c>
      <c r="BI20" s="88">
        <v>380</v>
      </c>
      <c r="BJ20" s="88">
        <v>400</v>
      </c>
      <c r="BK20" s="89">
        <v>417</v>
      </c>
      <c r="BL20" s="87">
        <v>413</v>
      </c>
      <c r="BM20" s="88">
        <v>448</v>
      </c>
      <c r="BN20" s="88">
        <v>428</v>
      </c>
      <c r="BO20" s="5">
        <v>450</v>
      </c>
      <c r="BP20" s="5">
        <v>472</v>
      </c>
      <c r="BQ20" s="89">
        <v>469</v>
      </c>
    </row>
    <row r="21" spans="1:69" x14ac:dyDescent="0.2">
      <c r="A21" s="20" t="s">
        <v>33</v>
      </c>
      <c r="B21" s="21" t="s">
        <v>34</v>
      </c>
      <c r="C21" s="25" t="s">
        <v>2</v>
      </c>
      <c r="D21" s="30">
        <v>8585</v>
      </c>
      <c r="E21" s="31">
        <v>8906</v>
      </c>
      <c r="F21" s="31">
        <v>8967</v>
      </c>
      <c r="G21" s="31">
        <v>9249</v>
      </c>
      <c r="H21" s="31">
        <v>8798</v>
      </c>
      <c r="I21" s="31">
        <v>9309</v>
      </c>
      <c r="J21" s="31">
        <v>9563</v>
      </c>
      <c r="K21" s="31">
        <v>10018</v>
      </c>
      <c r="L21" s="31">
        <v>10154</v>
      </c>
      <c r="M21" s="32">
        <v>9766</v>
      </c>
      <c r="N21" s="30">
        <v>9608</v>
      </c>
      <c r="O21" s="31">
        <v>9748</v>
      </c>
      <c r="P21" s="31">
        <v>9723</v>
      </c>
      <c r="Q21" s="31">
        <v>9379</v>
      </c>
      <c r="R21" s="31">
        <v>9599</v>
      </c>
      <c r="S21" s="31">
        <v>9362</v>
      </c>
      <c r="T21" s="31">
        <v>9006</v>
      </c>
      <c r="U21" s="31">
        <v>9325</v>
      </c>
      <c r="V21" s="31">
        <v>9238</v>
      </c>
      <c r="W21" s="32">
        <v>9658</v>
      </c>
      <c r="X21" s="30">
        <v>9667</v>
      </c>
      <c r="Y21" s="31">
        <v>9497</v>
      </c>
      <c r="Z21" s="31">
        <v>9831</v>
      </c>
      <c r="AA21" s="31">
        <v>10017</v>
      </c>
      <c r="AB21" s="31">
        <v>10125</v>
      </c>
      <c r="AC21" s="31">
        <v>10186</v>
      </c>
      <c r="AD21" s="31">
        <v>10327</v>
      </c>
      <c r="AE21" s="31">
        <v>10423</v>
      </c>
      <c r="AF21" s="31">
        <v>10395</v>
      </c>
      <c r="AG21" s="32">
        <v>10696</v>
      </c>
      <c r="AH21" s="30">
        <v>10661</v>
      </c>
      <c r="AI21" s="31">
        <v>10615</v>
      </c>
      <c r="AJ21" s="31">
        <v>11341</v>
      </c>
      <c r="AK21" s="31">
        <v>11236</v>
      </c>
      <c r="AL21" s="31">
        <v>11280</v>
      </c>
      <c r="AM21" s="31">
        <v>11265</v>
      </c>
      <c r="AN21" s="31">
        <v>11887</v>
      </c>
      <c r="AO21" s="31">
        <v>11332</v>
      </c>
      <c r="AP21" s="31">
        <v>11586</v>
      </c>
      <c r="AQ21" s="32">
        <v>11883</v>
      </c>
      <c r="AR21" s="30">
        <v>11546</v>
      </c>
      <c r="AS21" s="31">
        <v>11527</v>
      </c>
      <c r="AT21" s="31">
        <v>11394</v>
      </c>
      <c r="AU21" s="31">
        <v>11632</v>
      </c>
      <c r="AV21" s="31">
        <v>11361</v>
      </c>
      <c r="AW21" s="31">
        <v>11337</v>
      </c>
      <c r="AX21" s="31">
        <v>11506</v>
      </c>
      <c r="AY21" s="31">
        <v>11960</v>
      </c>
      <c r="AZ21" s="31">
        <v>11647</v>
      </c>
      <c r="BA21" s="32">
        <v>11426</v>
      </c>
      <c r="BB21" s="30">
        <v>11924</v>
      </c>
      <c r="BC21" s="31">
        <v>11953</v>
      </c>
      <c r="BD21" s="31">
        <v>12517</v>
      </c>
      <c r="BE21" s="67">
        <v>12339</v>
      </c>
      <c r="BF21" s="67">
        <v>12733</v>
      </c>
      <c r="BG21" s="67">
        <v>12829</v>
      </c>
      <c r="BH21" s="88">
        <v>13405</v>
      </c>
      <c r="BI21" s="88">
        <v>13014</v>
      </c>
      <c r="BJ21" s="88">
        <v>13314</v>
      </c>
      <c r="BK21" s="89">
        <v>13546</v>
      </c>
      <c r="BL21" s="87">
        <v>14522</v>
      </c>
      <c r="BM21" s="88">
        <v>15392</v>
      </c>
      <c r="BN21" s="88">
        <v>15566</v>
      </c>
      <c r="BO21" s="5">
        <v>15323</v>
      </c>
      <c r="BP21" s="5">
        <v>15079</v>
      </c>
      <c r="BQ21" s="89">
        <v>14704</v>
      </c>
    </row>
    <row r="22" spans="1:69" x14ac:dyDescent="0.2">
      <c r="A22" s="20" t="s">
        <v>36</v>
      </c>
      <c r="B22" s="21" t="s">
        <v>37</v>
      </c>
      <c r="C22" s="25"/>
      <c r="D22" s="30">
        <v>717</v>
      </c>
      <c r="E22" s="31">
        <v>828</v>
      </c>
      <c r="F22" s="31">
        <v>815</v>
      </c>
      <c r="G22" s="31">
        <v>827</v>
      </c>
      <c r="H22" s="31">
        <v>784</v>
      </c>
      <c r="I22" s="31">
        <v>847</v>
      </c>
      <c r="J22" s="31">
        <v>891</v>
      </c>
      <c r="K22" s="31">
        <v>935</v>
      </c>
      <c r="L22" s="31">
        <v>973</v>
      </c>
      <c r="M22" s="32">
        <v>879</v>
      </c>
      <c r="N22" s="30">
        <v>860</v>
      </c>
      <c r="O22" s="31">
        <v>935</v>
      </c>
      <c r="P22" s="31">
        <v>939</v>
      </c>
      <c r="Q22" s="31">
        <v>912</v>
      </c>
      <c r="R22" s="31">
        <v>954</v>
      </c>
      <c r="S22" s="31">
        <v>972</v>
      </c>
      <c r="T22" s="31">
        <v>943</v>
      </c>
      <c r="U22" s="31">
        <v>955</v>
      </c>
      <c r="V22" s="31">
        <v>983</v>
      </c>
      <c r="W22" s="32">
        <v>995</v>
      </c>
      <c r="X22" s="30">
        <v>1052</v>
      </c>
      <c r="Y22" s="31">
        <v>1104</v>
      </c>
      <c r="Z22" s="31">
        <v>1081</v>
      </c>
      <c r="AA22" s="31">
        <v>1159</v>
      </c>
      <c r="AB22" s="31">
        <v>1106</v>
      </c>
      <c r="AC22" s="31">
        <v>1086</v>
      </c>
      <c r="AD22" s="31">
        <v>1081</v>
      </c>
      <c r="AE22" s="31">
        <v>1234</v>
      </c>
      <c r="AF22" s="31">
        <v>1231</v>
      </c>
      <c r="AG22" s="32">
        <v>1307</v>
      </c>
      <c r="AH22" s="30">
        <v>1316</v>
      </c>
      <c r="AI22" s="31">
        <v>1401</v>
      </c>
      <c r="AJ22" s="31">
        <v>1366</v>
      </c>
      <c r="AK22" s="31">
        <v>1332</v>
      </c>
      <c r="AL22" s="31">
        <v>1420</v>
      </c>
      <c r="AM22" s="31">
        <v>1503</v>
      </c>
      <c r="AN22" s="31">
        <v>1593</v>
      </c>
      <c r="AO22" s="31">
        <v>1567</v>
      </c>
      <c r="AP22" s="31">
        <v>1661</v>
      </c>
      <c r="AQ22" s="32">
        <v>1671</v>
      </c>
      <c r="AR22" s="30">
        <v>1727</v>
      </c>
      <c r="AS22" s="31">
        <v>1851</v>
      </c>
      <c r="AT22" s="31">
        <v>1756</v>
      </c>
      <c r="AU22" s="31">
        <v>1819</v>
      </c>
      <c r="AV22" s="31">
        <v>1772</v>
      </c>
      <c r="AW22" s="31">
        <v>1759</v>
      </c>
      <c r="AX22" s="31">
        <v>1757</v>
      </c>
      <c r="AY22" s="31">
        <v>1937</v>
      </c>
      <c r="AZ22" s="31">
        <v>1889</v>
      </c>
      <c r="BA22" s="32">
        <v>1979</v>
      </c>
      <c r="BB22" s="30">
        <v>1990</v>
      </c>
      <c r="BC22" s="31">
        <v>1924</v>
      </c>
      <c r="BD22" s="31">
        <v>2025</v>
      </c>
      <c r="BE22" s="67">
        <v>2006</v>
      </c>
      <c r="BF22" s="67">
        <v>2152</v>
      </c>
      <c r="BG22" s="67">
        <v>2177</v>
      </c>
      <c r="BH22" s="88">
        <v>2245</v>
      </c>
      <c r="BI22" s="88">
        <v>2231</v>
      </c>
      <c r="BJ22" s="88">
        <v>2214</v>
      </c>
      <c r="BK22" s="89">
        <v>2335</v>
      </c>
      <c r="BL22" s="87">
        <v>2434</v>
      </c>
      <c r="BM22" s="88">
        <v>2761</v>
      </c>
      <c r="BN22" s="88">
        <v>2495</v>
      </c>
      <c r="BO22" s="5">
        <v>2551</v>
      </c>
      <c r="BP22" s="5">
        <v>2680</v>
      </c>
      <c r="BQ22" s="89">
        <v>2466</v>
      </c>
    </row>
    <row r="23" spans="1:69" x14ac:dyDescent="0.2">
      <c r="A23" s="20" t="s">
        <v>38</v>
      </c>
      <c r="B23" s="21" t="s">
        <v>39</v>
      </c>
      <c r="C23" s="25" t="s">
        <v>2</v>
      </c>
      <c r="D23" s="30">
        <v>201</v>
      </c>
      <c r="E23" s="31">
        <v>231</v>
      </c>
      <c r="F23" s="31">
        <v>198</v>
      </c>
      <c r="G23" s="31">
        <v>214</v>
      </c>
      <c r="H23" s="31">
        <v>214</v>
      </c>
      <c r="I23" s="31">
        <v>234</v>
      </c>
      <c r="J23" s="31">
        <v>203</v>
      </c>
      <c r="K23" s="31">
        <v>231</v>
      </c>
      <c r="L23" s="31">
        <v>182</v>
      </c>
      <c r="M23" s="32">
        <v>232</v>
      </c>
      <c r="N23" s="30">
        <v>177</v>
      </c>
      <c r="O23" s="31">
        <v>218</v>
      </c>
      <c r="P23" s="31">
        <v>195</v>
      </c>
      <c r="Q23" s="31">
        <v>186</v>
      </c>
      <c r="R23" s="31">
        <v>196</v>
      </c>
      <c r="S23" s="31">
        <v>186</v>
      </c>
      <c r="T23" s="31">
        <v>199</v>
      </c>
      <c r="U23" s="31">
        <v>207</v>
      </c>
      <c r="V23" s="31">
        <v>215</v>
      </c>
      <c r="W23" s="32">
        <v>200</v>
      </c>
      <c r="X23" s="30">
        <v>236</v>
      </c>
      <c r="Y23" s="31">
        <v>189</v>
      </c>
      <c r="Z23" s="31">
        <v>164</v>
      </c>
      <c r="AA23" s="31">
        <v>229</v>
      </c>
      <c r="AB23" s="31">
        <v>227</v>
      </c>
      <c r="AC23" s="31">
        <v>234</v>
      </c>
      <c r="AD23" s="31">
        <v>211</v>
      </c>
      <c r="AE23" s="31">
        <v>208</v>
      </c>
      <c r="AF23" s="31">
        <v>185</v>
      </c>
      <c r="AG23" s="32">
        <v>206</v>
      </c>
      <c r="AH23" s="30">
        <v>204</v>
      </c>
      <c r="AI23" s="31">
        <v>214</v>
      </c>
      <c r="AJ23" s="31">
        <v>220</v>
      </c>
      <c r="AK23" s="31">
        <v>228</v>
      </c>
      <c r="AL23" s="31">
        <v>214</v>
      </c>
      <c r="AM23" s="31">
        <v>247</v>
      </c>
      <c r="AN23" s="31">
        <v>248</v>
      </c>
      <c r="AO23" s="31">
        <v>228</v>
      </c>
      <c r="AP23" s="31">
        <v>275</v>
      </c>
      <c r="AQ23" s="32">
        <v>227</v>
      </c>
      <c r="AR23" s="30">
        <v>244</v>
      </c>
      <c r="AS23" s="31">
        <v>267</v>
      </c>
      <c r="AT23" s="31">
        <v>246</v>
      </c>
      <c r="AU23" s="31">
        <v>251</v>
      </c>
      <c r="AV23" s="31">
        <v>235</v>
      </c>
      <c r="AW23" s="31">
        <v>251</v>
      </c>
      <c r="AX23" s="31">
        <v>248</v>
      </c>
      <c r="AY23" s="31">
        <v>245</v>
      </c>
      <c r="AZ23" s="31">
        <v>283</v>
      </c>
      <c r="BA23" s="32">
        <v>256</v>
      </c>
      <c r="BB23" s="30">
        <v>288</v>
      </c>
      <c r="BC23" s="31">
        <v>262</v>
      </c>
      <c r="BD23" s="31">
        <v>289</v>
      </c>
      <c r="BE23" s="67">
        <v>281</v>
      </c>
      <c r="BF23" s="67">
        <v>275</v>
      </c>
      <c r="BG23" s="67">
        <v>314</v>
      </c>
      <c r="BH23" s="88">
        <v>322</v>
      </c>
      <c r="BI23" s="88">
        <v>299</v>
      </c>
      <c r="BJ23" s="88">
        <v>328</v>
      </c>
      <c r="BK23" s="89">
        <v>349</v>
      </c>
      <c r="BL23" s="87">
        <v>357</v>
      </c>
      <c r="BM23" s="88">
        <v>392</v>
      </c>
      <c r="BN23" s="88">
        <v>398</v>
      </c>
      <c r="BO23" s="5">
        <v>400</v>
      </c>
      <c r="BP23" s="5">
        <v>389</v>
      </c>
      <c r="BQ23" s="89">
        <v>397</v>
      </c>
    </row>
    <row r="24" spans="1:69" x14ac:dyDescent="0.2">
      <c r="A24" s="20" t="s">
        <v>40</v>
      </c>
      <c r="B24" s="21" t="s">
        <v>41</v>
      </c>
      <c r="C24" s="25" t="s">
        <v>2</v>
      </c>
      <c r="D24" s="30">
        <v>104</v>
      </c>
      <c r="E24" s="31">
        <v>126</v>
      </c>
      <c r="F24" s="31">
        <v>126</v>
      </c>
      <c r="G24" s="31">
        <v>123</v>
      </c>
      <c r="H24" s="31">
        <v>123</v>
      </c>
      <c r="I24" s="31">
        <v>111</v>
      </c>
      <c r="J24" s="31">
        <v>133</v>
      </c>
      <c r="K24" s="31">
        <v>119</v>
      </c>
      <c r="L24" s="31">
        <v>124</v>
      </c>
      <c r="M24" s="32">
        <v>124</v>
      </c>
      <c r="N24" s="30">
        <v>130</v>
      </c>
      <c r="O24" s="31">
        <v>129</v>
      </c>
      <c r="P24" s="31">
        <v>125</v>
      </c>
      <c r="Q24" s="31">
        <v>132</v>
      </c>
      <c r="R24" s="31">
        <v>130</v>
      </c>
      <c r="S24" s="31">
        <v>131</v>
      </c>
      <c r="T24" s="31">
        <v>122</v>
      </c>
      <c r="U24" s="31">
        <v>130</v>
      </c>
      <c r="V24" s="31">
        <v>117</v>
      </c>
      <c r="W24" s="32">
        <v>134</v>
      </c>
      <c r="X24" s="30">
        <v>132</v>
      </c>
      <c r="Y24" s="31">
        <v>145</v>
      </c>
      <c r="Z24" s="31">
        <v>163</v>
      </c>
      <c r="AA24" s="31">
        <v>124</v>
      </c>
      <c r="AB24" s="31">
        <v>120</v>
      </c>
      <c r="AC24" s="31">
        <v>144</v>
      </c>
      <c r="AD24" s="31">
        <v>133</v>
      </c>
      <c r="AE24" s="31">
        <v>155</v>
      </c>
      <c r="AF24" s="31">
        <v>142</v>
      </c>
      <c r="AG24" s="32">
        <v>175</v>
      </c>
      <c r="AH24" s="30">
        <v>141</v>
      </c>
      <c r="AI24" s="31">
        <v>148</v>
      </c>
      <c r="AJ24" s="31">
        <v>161</v>
      </c>
      <c r="AK24" s="31">
        <v>159</v>
      </c>
      <c r="AL24" s="31">
        <v>171</v>
      </c>
      <c r="AM24" s="31">
        <v>150</v>
      </c>
      <c r="AN24" s="31">
        <v>166</v>
      </c>
      <c r="AO24" s="31">
        <v>131</v>
      </c>
      <c r="AP24" s="31">
        <v>140</v>
      </c>
      <c r="AQ24" s="32">
        <v>189</v>
      </c>
      <c r="AR24" s="30">
        <v>165</v>
      </c>
      <c r="AS24" s="31">
        <v>172</v>
      </c>
      <c r="AT24" s="31">
        <v>165</v>
      </c>
      <c r="AU24" s="31">
        <v>157</v>
      </c>
      <c r="AV24" s="31">
        <v>177</v>
      </c>
      <c r="AW24" s="31">
        <v>160</v>
      </c>
      <c r="AX24" s="31">
        <v>165</v>
      </c>
      <c r="AY24" s="31">
        <v>180</v>
      </c>
      <c r="AZ24" s="31">
        <v>156</v>
      </c>
      <c r="BA24" s="32">
        <v>171</v>
      </c>
      <c r="BB24" s="30">
        <v>161</v>
      </c>
      <c r="BC24" s="31">
        <v>206</v>
      </c>
      <c r="BD24" s="31">
        <v>159</v>
      </c>
      <c r="BE24" s="67">
        <v>170</v>
      </c>
      <c r="BF24" s="67">
        <v>178</v>
      </c>
      <c r="BG24" s="67">
        <v>148</v>
      </c>
      <c r="BH24" s="88">
        <v>218</v>
      </c>
      <c r="BI24" s="88">
        <v>202</v>
      </c>
      <c r="BJ24" s="88">
        <v>215</v>
      </c>
      <c r="BK24" s="89">
        <v>210</v>
      </c>
      <c r="BL24" s="87">
        <v>238</v>
      </c>
      <c r="BM24" s="88">
        <v>282</v>
      </c>
      <c r="BN24" s="88">
        <v>246</v>
      </c>
      <c r="BO24" s="5">
        <v>250</v>
      </c>
      <c r="BP24" s="5">
        <v>265</v>
      </c>
      <c r="BQ24" s="89">
        <v>216</v>
      </c>
    </row>
    <row r="25" spans="1:69" x14ac:dyDescent="0.2">
      <c r="A25" s="20" t="s">
        <v>42</v>
      </c>
      <c r="B25" s="21" t="s">
        <v>43</v>
      </c>
      <c r="C25" s="25" t="s">
        <v>2</v>
      </c>
      <c r="D25" s="30">
        <v>461</v>
      </c>
      <c r="E25" s="31">
        <v>512</v>
      </c>
      <c r="F25" s="31">
        <v>519</v>
      </c>
      <c r="G25" s="31">
        <v>550</v>
      </c>
      <c r="H25" s="31">
        <v>549</v>
      </c>
      <c r="I25" s="31">
        <v>507</v>
      </c>
      <c r="J25" s="31">
        <v>489</v>
      </c>
      <c r="K25" s="31">
        <v>573</v>
      </c>
      <c r="L25" s="31">
        <v>545</v>
      </c>
      <c r="M25" s="32">
        <v>541</v>
      </c>
      <c r="N25" s="30">
        <v>535</v>
      </c>
      <c r="O25" s="31">
        <v>551</v>
      </c>
      <c r="P25" s="31">
        <v>540</v>
      </c>
      <c r="Q25" s="31">
        <v>539</v>
      </c>
      <c r="R25" s="31">
        <v>530</v>
      </c>
      <c r="S25" s="31">
        <v>526</v>
      </c>
      <c r="T25" s="31">
        <v>509</v>
      </c>
      <c r="U25" s="31">
        <v>565</v>
      </c>
      <c r="V25" s="31">
        <v>517</v>
      </c>
      <c r="W25" s="32">
        <v>516</v>
      </c>
      <c r="X25" s="30">
        <v>508</v>
      </c>
      <c r="Y25" s="31">
        <v>517</v>
      </c>
      <c r="Z25" s="31">
        <v>541</v>
      </c>
      <c r="AA25" s="31">
        <v>547</v>
      </c>
      <c r="AB25" s="31">
        <v>572</v>
      </c>
      <c r="AC25" s="31">
        <v>593</v>
      </c>
      <c r="AD25" s="31">
        <v>548</v>
      </c>
      <c r="AE25" s="31">
        <v>551</v>
      </c>
      <c r="AF25" s="31">
        <v>613</v>
      </c>
      <c r="AG25" s="32">
        <v>667</v>
      </c>
      <c r="AH25" s="30">
        <v>600</v>
      </c>
      <c r="AI25" s="31">
        <v>614</v>
      </c>
      <c r="AJ25" s="31">
        <v>644</v>
      </c>
      <c r="AK25" s="31">
        <v>668</v>
      </c>
      <c r="AL25" s="31">
        <v>662</v>
      </c>
      <c r="AM25" s="31">
        <v>736</v>
      </c>
      <c r="AN25" s="31">
        <v>702</v>
      </c>
      <c r="AO25" s="31">
        <v>731</v>
      </c>
      <c r="AP25" s="31">
        <v>727</v>
      </c>
      <c r="AQ25" s="32">
        <v>753</v>
      </c>
      <c r="AR25" s="30">
        <v>749</v>
      </c>
      <c r="AS25" s="31">
        <v>770</v>
      </c>
      <c r="AT25" s="31">
        <v>717</v>
      </c>
      <c r="AU25" s="31">
        <v>828</v>
      </c>
      <c r="AV25" s="31">
        <v>803</v>
      </c>
      <c r="AW25" s="31">
        <v>752</v>
      </c>
      <c r="AX25" s="31">
        <v>704</v>
      </c>
      <c r="AY25" s="31">
        <v>744</v>
      </c>
      <c r="AZ25" s="31">
        <v>688</v>
      </c>
      <c r="BA25" s="32">
        <v>805</v>
      </c>
      <c r="BB25" s="30">
        <v>824</v>
      </c>
      <c r="BC25" s="31">
        <v>825</v>
      </c>
      <c r="BD25" s="31">
        <v>839</v>
      </c>
      <c r="BE25" s="67">
        <v>798</v>
      </c>
      <c r="BF25" s="67">
        <v>821</v>
      </c>
      <c r="BG25" s="67">
        <v>885</v>
      </c>
      <c r="BH25" s="88">
        <v>904</v>
      </c>
      <c r="BI25" s="88">
        <v>933</v>
      </c>
      <c r="BJ25" s="88">
        <v>950</v>
      </c>
      <c r="BK25" s="89">
        <v>927</v>
      </c>
      <c r="BL25" s="87">
        <v>1041</v>
      </c>
      <c r="BM25" s="88">
        <v>1184</v>
      </c>
      <c r="BN25" s="88">
        <v>1108</v>
      </c>
      <c r="BO25" s="5">
        <v>1065</v>
      </c>
      <c r="BP25" s="5">
        <v>1038</v>
      </c>
      <c r="BQ25" s="89">
        <v>1080</v>
      </c>
    </row>
    <row r="26" spans="1:69" x14ac:dyDescent="0.2">
      <c r="A26" s="20" t="s">
        <v>44</v>
      </c>
      <c r="B26" s="21" t="s">
        <v>45</v>
      </c>
      <c r="C26" s="25" t="s">
        <v>2</v>
      </c>
      <c r="D26" s="30">
        <v>98</v>
      </c>
      <c r="E26" s="31">
        <v>92</v>
      </c>
      <c r="F26" s="31">
        <v>106</v>
      </c>
      <c r="G26" s="31">
        <v>105</v>
      </c>
      <c r="H26" s="31">
        <v>88</v>
      </c>
      <c r="I26" s="31">
        <v>103</v>
      </c>
      <c r="J26" s="31">
        <v>110</v>
      </c>
      <c r="K26" s="31">
        <v>96</v>
      </c>
      <c r="L26" s="31">
        <v>122</v>
      </c>
      <c r="M26" s="32">
        <v>117</v>
      </c>
      <c r="N26" s="30">
        <v>115</v>
      </c>
      <c r="O26" s="31">
        <v>98</v>
      </c>
      <c r="P26" s="31">
        <v>112</v>
      </c>
      <c r="Q26" s="31">
        <v>115</v>
      </c>
      <c r="R26" s="31">
        <v>110</v>
      </c>
      <c r="S26" s="31">
        <v>109</v>
      </c>
      <c r="T26" s="31">
        <v>107</v>
      </c>
      <c r="U26" s="31">
        <v>110</v>
      </c>
      <c r="V26" s="31">
        <v>114</v>
      </c>
      <c r="W26" s="32">
        <v>84</v>
      </c>
      <c r="X26" s="30">
        <v>109</v>
      </c>
      <c r="Y26" s="31">
        <v>105</v>
      </c>
      <c r="Z26" s="31">
        <v>107</v>
      </c>
      <c r="AA26" s="31">
        <v>106</v>
      </c>
      <c r="AB26" s="31">
        <v>112</v>
      </c>
      <c r="AC26" s="31">
        <v>97</v>
      </c>
      <c r="AD26" s="31">
        <v>116</v>
      </c>
      <c r="AE26" s="31">
        <v>113</v>
      </c>
      <c r="AF26" s="31">
        <v>130</v>
      </c>
      <c r="AG26" s="32">
        <v>97</v>
      </c>
      <c r="AH26" s="30">
        <v>95</v>
      </c>
      <c r="AI26" s="31">
        <v>97</v>
      </c>
      <c r="AJ26" s="31">
        <v>109</v>
      </c>
      <c r="AK26" s="31">
        <v>97</v>
      </c>
      <c r="AL26" s="31">
        <v>108</v>
      </c>
      <c r="AM26" s="31">
        <v>111</v>
      </c>
      <c r="AN26" s="31">
        <v>112</v>
      </c>
      <c r="AO26" s="31">
        <v>110</v>
      </c>
      <c r="AP26" s="31">
        <v>121</v>
      </c>
      <c r="AQ26" s="32">
        <v>120</v>
      </c>
      <c r="AR26" s="30">
        <v>121</v>
      </c>
      <c r="AS26" s="31">
        <v>110</v>
      </c>
      <c r="AT26" s="31">
        <v>99</v>
      </c>
      <c r="AU26" s="31">
        <v>100</v>
      </c>
      <c r="AV26" s="31">
        <v>115</v>
      </c>
      <c r="AW26" s="31">
        <v>127</v>
      </c>
      <c r="AX26" s="31">
        <v>105</v>
      </c>
      <c r="AY26" s="31">
        <v>111</v>
      </c>
      <c r="AZ26" s="31">
        <v>134</v>
      </c>
      <c r="BA26" s="32">
        <v>116</v>
      </c>
      <c r="BB26" s="30">
        <v>125</v>
      </c>
      <c r="BC26" s="31">
        <v>117</v>
      </c>
      <c r="BD26" s="31">
        <v>107</v>
      </c>
      <c r="BE26" s="67">
        <v>117</v>
      </c>
      <c r="BF26" s="67">
        <v>91</v>
      </c>
      <c r="BG26" s="67">
        <v>105</v>
      </c>
      <c r="BH26" s="88">
        <v>125</v>
      </c>
      <c r="BI26" s="88">
        <v>121</v>
      </c>
      <c r="BJ26" s="88">
        <v>116</v>
      </c>
      <c r="BK26" s="89">
        <v>117</v>
      </c>
      <c r="BL26" s="87">
        <v>128</v>
      </c>
      <c r="BM26" s="88">
        <v>145</v>
      </c>
      <c r="BN26" s="88">
        <v>147</v>
      </c>
      <c r="BO26" s="5">
        <v>163</v>
      </c>
      <c r="BP26" s="5">
        <v>124</v>
      </c>
      <c r="BQ26" s="89">
        <v>116</v>
      </c>
    </row>
    <row r="27" spans="1:69" x14ac:dyDescent="0.2">
      <c r="A27" s="20" t="s">
        <v>46</v>
      </c>
      <c r="B27" s="21" t="s">
        <v>47</v>
      </c>
      <c r="C27" s="25"/>
      <c r="D27" s="30">
        <v>143</v>
      </c>
      <c r="E27" s="31">
        <v>177</v>
      </c>
      <c r="F27" s="31">
        <v>160</v>
      </c>
      <c r="G27" s="31">
        <v>160</v>
      </c>
      <c r="H27" s="31">
        <v>163</v>
      </c>
      <c r="I27" s="31">
        <v>159</v>
      </c>
      <c r="J27" s="31">
        <v>160</v>
      </c>
      <c r="K27" s="31">
        <v>176</v>
      </c>
      <c r="L27" s="31">
        <v>194</v>
      </c>
      <c r="M27" s="32">
        <v>207</v>
      </c>
      <c r="N27" s="30">
        <v>212</v>
      </c>
      <c r="O27" s="31">
        <v>238</v>
      </c>
      <c r="P27" s="31">
        <v>182</v>
      </c>
      <c r="Q27" s="31">
        <v>199</v>
      </c>
      <c r="R27" s="31">
        <v>212</v>
      </c>
      <c r="S27" s="31">
        <v>229</v>
      </c>
      <c r="T27" s="31">
        <v>239</v>
      </c>
      <c r="U27" s="31">
        <v>228</v>
      </c>
      <c r="V27" s="31">
        <v>215</v>
      </c>
      <c r="W27" s="32">
        <v>223</v>
      </c>
      <c r="X27" s="30">
        <v>243</v>
      </c>
      <c r="Y27" s="31">
        <v>273</v>
      </c>
      <c r="Z27" s="31">
        <v>296</v>
      </c>
      <c r="AA27" s="31">
        <v>289</v>
      </c>
      <c r="AB27" s="31">
        <v>297</v>
      </c>
      <c r="AC27" s="31">
        <v>323</v>
      </c>
      <c r="AD27" s="31">
        <v>337</v>
      </c>
      <c r="AE27" s="31">
        <v>328</v>
      </c>
      <c r="AF27" s="31">
        <v>345</v>
      </c>
      <c r="AG27" s="32">
        <v>336</v>
      </c>
      <c r="AH27" s="30">
        <v>332</v>
      </c>
      <c r="AI27" s="31">
        <v>417</v>
      </c>
      <c r="AJ27" s="31">
        <v>407</v>
      </c>
      <c r="AK27" s="31">
        <v>414</v>
      </c>
      <c r="AL27" s="31">
        <v>435</v>
      </c>
      <c r="AM27" s="31">
        <v>519</v>
      </c>
      <c r="AN27" s="31">
        <v>499</v>
      </c>
      <c r="AO27" s="31">
        <v>434</v>
      </c>
      <c r="AP27" s="31">
        <v>532</v>
      </c>
      <c r="AQ27" s="32">
        <v>497</v>
      </c>
      <c r="AR27" s="30">
        <v>513</v>
      </c>
      <c r="AS27" s="31">
        <v>528</v>
      </c>
      <c r="AT27" s="31">
        <v>460</v>
      </c>
      <c r="AU27" s="31">
        <v>531</v>
      </c>
      <c r="AV27" s="31">
        <v>557</v>
      </c>
      <c r="AW27" s="31">
        <v>585</v>
      </c>
      <c r="AX27" s="31">
        <v>592</v>
      </c>
      <c r="AY27" s="31">
        <v>600</v>
      </c>
      <c r="AZ27" s="31">
        <v>572</v>
      </c>
      <c r="BA27" s="32">
        <v>552</v>
      </c>
      <c r="BB27" s="30">
        <v>615</v>
      </c>
      <c r="BC27" s="31">
        <v>634</v>
      </c>
      <c r="BD27" s="31">
        <v>600</v>
      </c>
      <c r="BE27" s="67">
        <v>631</v>
      </c>
      <c r="BF27" s="67">
        <v>648</v>
      </c>
      <c r="BG27" s="67">
        <v>680</v>
      </c>
      <c r="BH27" s="88">
        <v>663</v>
      </c>
      <c r="BI27" s="88">
        <v>705</v>
      </c>
      <c r="BJ27" s="88">
        <v>695</v>
      </c>
      <c r="BK27" s="89">
        <v>725</v>
      </c>
      <c r="BL27" s="87">
        <v>754</v>
      </c>
      <c r="BM27" s="88">
        <v>901</v>
      </c>
      <c r="BN27" s="88">
        <v>814</v>
      </c>
      <c r="BO27" s="5">
        <v>867</v>
      </c>
      <c r="BP27" s="5">
        <v>803</v>
      </c>
      <c r="BQ27" s="89">
        <v>828</v>
      </c>
    </row>
    <row r="28" spans="1:69" x14ac:dyDescent="0.2">
      <c r="A28" s="20" t="s">
        <v>48</v>
      </c>
      <c r="B28" s="21" t="s">
        <v>49</v>
      </c>
      <c r="C28" s="25" t="s">
        <v>2</v>
      </c>
      <c r="D28" s="30">
        <v>246</v>
      </c>
      <c r="E28" s="31">
        <v>241</v>
      </c>
      <c r="F28" s="31">
        <v>276</v>
      </c>
      <c r="G28" s="31">
        <v>285</v>
      </c>
      <c r="H28" s="31">
        <v>256</v>
      </c>
      <c r="I28" s="31">
        <v>287</v>
      </c>
      <c r="J28" s="31">
        <v>245</v>
      </c>
      <c r="K28" s="31">
        <v>249</v>
      </c>
      <c r="L28" s="31">
        <v>277</v>
      </c>
      <c r="M28" s="32">
        <v>289</v>
      </c>
      <c r="N28" s="30">
        <v>284</v>
      </c>
      <c r="O28" s="31">
        <v>280</v>
      </c>
      <c r="P28" s="31">
        <v>263</v>
      </c>
      <c r="Q28" s="31">
        <v>293</v>
      </c>
      <c r="R28" s="31">
        <v>279</v>
      </c>
      <c r="S28" s="31">
        <v>256</v>
      </c>
      <c r="T28" s="31">
        <v>270</v>
      </c>
      <c r="U28" s="31">
        <v>288</v>
      </c>
      <c r="V28" s="31">
        <v>275</v>
      </c>
      <c r="W28" s="32">
        <v>295</v>
      </c>
      <c r="X28" s="30">
        <v>268</v>
      </c>
      <c r="Y28" s="31">
        <v>306</v>
      </c>
      <c r="Z28" s="31">
        <v>291</v>
      </c>
      <c r="AA28" s="31">
        <v>324</v>
      </c>
      <c r="AB28" s="31">
        <v>311</v>
      </c>
      <c r="AC28" s="31">
        <v>328</v>
      </c>
      <c r="AD28" s="31">
        <v>311</v>
      </c>
      <c r="AE28" s="31">
        <v>314</v>
      </c>
      <c r="AF28" s="31">
        <v>373</v>
      </c>
      <c r="AG28" s="32">
        <v>318</v>
      </c>
      <c r="AH28" s="30">
        <v>301</v>
      </c>
      <c r="AI28" s="31">
        <v>312</v>
      </c>
      <c r="AJ28" s="31">
        <v>329</v>
      </c>
      <c r="AK28" s="31">
        <v>340</v>
      </c>
      <c r="AL28" s="31">
        <v>320</v>
      </c>
      <c r="AM28" s="31">
        <v>325</v>
      </c>
      <c r="AN28" s="31">
        <v>363</v>
      </c>
      <c r="AO28" s="31">
        <v>366</v>
      </c>
      <c r="AP28" s="31">
        <v>385</v>
      </c>
      <c r="AQ28" s="32">
        <v>359</v>
      </c>
      <c r="AR28" s="30">
        <v>341</v>
      </c>
      <c r="AS28" s="31">
        <v>370</v>
      </c>
      <c r="AT28" s="31">
        <v>409</v>
      </c>
      <c r="AU28" s="31">
        <v>365</v>
      </c>
      <c r="AV28" s="31">
        <v>378</v>
      </c>
      <c r="AW28" s="31">
        <v>352</v>
      </c>
      <c r="AX28" s="31">
        <v>368</v>
      </c>
      <c r="AY28" s="31">
        <v>374</v>
      </c>
      <c r="AZ28" s="31">
        <v>400</v>
      </c>
      <c r="BA28" s="32">
        <v>400</v>
      </c>
      <c r="BB28" s="30">
        <v>407</v>
      </c>
      <c r="BC28" s="31">
        <v>427</v>
      </c>
      <c r="BD28" s="31">
        <v>398</v>
      </c>
      <c r="BE28" s="67">
        <v>413</v>
      </c>
      <c r="BF28" s="67">
        <v>406</v>
      </c>
      <c r="BG28" s="67">
        <v>481</v>
      </c>
      <c r="BH28" s="88">
        <v>428</v>
      </c>
      <c r="BI28" s="88">
        <v>459</v>
      </c>
      <c r="BJ28" s="88">
        <v>442</v>
      </c>
      <c r="BK28" s="89">
        <v>463</v>
      </c>
      <c r="BL28" s="87">
        <v>492</v>
      </c>
      <c r="BM28" s="88">
        <v>608</v>
      </c>
      <c r="BN28" s="88">
        <v>521</v>
      </c>
      <c r="BO28" s="5">
        <v>519</v>
      </c>
      <c r="BP28" s="5">
        <v>508</v>
      </c>
      <c r="BQ28" s="89">
        <v>485</v>
      </c>
    </row>
    <row r="29" spans="1:69" x14ac:dyDescent="0.2">
      <c r="A29" s="20" t="s">
        <v>35</v>
      </c>
      <c r="B29" s="21" t="s">
        <v>50</v>
      </c>
      <c r="C29" s="25" t="s">
        <v>2</v>
      </c>
      <c r="D29" s="30">
        <v>163</v>
      </c>
      <c r="E29" s="31">
        <v>151</v>
      </c>
      <c r="F29" s="31">
        <v>174</v>
      </c>
      <c r="G29" s="31">
        <v>166</v>
      </c>
      <c r="H29" s="31">
        <v>182</v>
      </c>
      <c r="I29" s="31">
        <v>204</v>
      </c>
      <c r="J29" s="31">
        <v>215</v>
      </c>
      <c r="K29" s="31">
        <v>211</v>
      </c>
      <c r="L29" s="31">
        <v>212</v>
      </c>
      <c r="M29" s="32">
        <v>201</v>
      </c>
      <c r="N29" s="30">
        <v>225</v>
      </c>
      <c r="O29" s="31">
        <v>215</v>
      </c>
      <c r="P29" s="31">
        <v>199</v>
      </c>
      <c r="Q29" s="31">
        <v>202</v>
      </c>
      <c r="R29" s="31">
        <v>205</v>
      </c>
      <c r="S29" s="31">
        <v>206</v>
      </c>
      <c r="T29" s="31">
        <v>208</v>
      </c>
      <c r="U29" s="31">
        <v>224</v>
      </c>
      <c r="V29" s="31">
        <v>224</v>
      </c>
      <c r="W29" s="32">
        <v>192</v>
      </c>
      <c r="X29" s="30">
        <v>215</v>
      </c>
      <c r="Y29" s="31">
        <v>245</v>
      </c>
      <c r="Z29" s="31">
        <v>205</v>
      </c>
      <c r="AA29" s="31">
        <v>233</v>
      </c>
      <c r="AB29" s="31">
        <v>214</v>
      </c>
      <c r="AC29" s="31">
        <v>229</v>
      </c>
      <c r="AD29" s="31">
        <v>251</v>
      </c>
      <c r="AE29" s="31">
        <v>262</v>
      </c>
      <c r="AF29" s="31">
        <v>244</v>
      </c>
      <c r="AG29" s="32">
        <v>266</v>
      </c>
      <c r="AH29" s="30">
        <v>263</v>
      </c>
      <c r="AI29" s="31">
        <v>267</v>
      </c>
      <c r="AJ29" s="31">
        <v>239</v>
      </c>
      <c r="AK29" s="31">
        <v>283</v>
      </c>
      <c r="AL29" s="31">
        <v>215</v>
      </c>
      <c r="AM29" s="31">
        <v>272</v>
      </c>
      <c r="AN29" s="31">
        <v>319</v>
      </c>
      <c r="AO29" s="31">
        <v>263</v>
      </c>
      <c r="AP29" s="31">
        <v>264</v>
      </c>
      <c r="AQ29" s="32">
        <v>279</v>
      </c>
      <c r="AR29" s="30">
        <v>312</v>
      </c>
      <c r="AS29" s="31">
        <v>324</v>
      </c>
      <c r="AT29" s="31">
        <v>288</v>
      </c>
      <c r="AU29" s="31">
        <v>295</v>
      </c>
      <c r="AV29" s="31">
        <v>287</v>
      </c>
      <c r="AW29" s="31">
        <v>281</v>
      </c>
      <c r="AX29" s="31">
        <v>284</v>
      </c>
      <c r="AY29" s="31">
        <v>320</v>
      </c>
      <c r="AZ29" s="31">
        <v>287</v>
      </c>
      <c r="BA29" s="32">
        <v>303</v>
      </c>
      <c r="BB29" s="30">
        <v>299</v>
      </c>
      <c r="BC29" s="31">
        <v>287</v>
      </c>
      <c r="BD29" s="31">
        <v>290</v>
      </c>
      <c r="BE29" s="67">
        <v>315</v>
      </c>
      <c r="BF29" s="67">
        <v>294</v>
      </c>
      <c r="BG29" s="67">
        <v>330</v>
      </c>
      <c r="BH29" s="88">
        <v>289</v>
      </c>
      <c r="BI29" s="88">
        <v>352</v>
      </c>
      <c r="BJ29" s="88">
        <v>337</v>
      </c>
      <c r="BK29" s="89">
        <v>333</v>
      </c>
      <c r="BL29" s="87">
        <v>328</v>
      </c>
      <c r="BM29" s="88">
        <v>440</v>
      </c>
      <c r="BN29" s="88">
        <v>376</v>
      </c>
      <c r="BO29" s="5">
        <v>400</v>
      </c>
      <c r="BP29" s="5">
        <v>392</v>
      </c>
      <c r="BQ29" s="89">
        <v>383</v>
      </c>
    </row>
    <row r="30" spans="1:69" x14ac:dyDescent="0.2">
      <c r="A30" s="20" t="s">
        <v>51</v>
      </c>
      <c r="B30" s="21" t="s">
        <v>52</v>
      </c>
      <c r="C30" s="25" t="s">
        <v>2</v>
      </c>
      <c r="D30" s="30">
        <v>76</v>
      </c>
      <c r="E30" s="31">
        <v>77</v>
      </c>
      <c r="F30" s="31">
        <v>74</v>
      </c>
      <c r="G30" s="31">
        <v>76</v>
      </c>
      <c r="H30" s="31">
        <v>62</v>
      </c>
      <c r="I30" s="31">
        <v>72</v>
      </c>
      <c r="J30" s="31">
        <v>92</v>
      </c>
      <c r="K30" s="31">
        <v>84</v>
      </c>
      <c r="L30" s="31">
        <v>76</v>
      </c>
      <c r="M30" s="32">
        <v>62</v>
      </c>
      <c r="N30" s="30">
        <v>88</v>
      </c>
      <c r="O30" s="31">
        <v>61</v>
      </c>
      <c r="P30" s="31">
        <v>61</v>
      </c>
      <c r="Q30" s="31">
        <v>82</v>
      </c>
      <c r="R30" s="31">
        <v>72</v>
      </c>
      <c r="S30" s="31">
        <v>75</v>
      </c>
      <c r="T30" s="31">
        <v>73</v>
      </c>
      <c r="U30" s="31">
        <v>81</v>
      </c>
      <c r="V30" s="31">
        <v>71</v>
      </c>
      <c r="W30" s="32">
        <v>80</v>
      </c>
      <c r="X30" s="30">
        <v>74</v>
      </c>
      <c r="Y30" s="31">
        <v>72</v>
      </c>
      <c r="Z30" s="31">
        <v>98</v>
      </c>
      <c r="AA30" s="31">
        <v>91</v>
      </c>
      <c r="AB30" s="31">
        <v>89</v>
      </c>
      <c r="AC30" s="31">
        <v>75</v>
      </c>
      <c r="AD30" s="31">
        <v>102</v>
      </c>
      <c r="AE30" s="31">
        <v>98</v>
      </c>
      <c r="AF30" s="31">
        <v>86</v>
      </c>
      <c r="AG30" s="32">
        <v>85</v>
      </c>
      <c r="AH30" s="30">
        <v>77</v>
      </c>
      <c r="AI30" s="31">
        <v>82</v>
      </c>
      <c r="AJ30" s="31">
        <v>103</v>
      </c>
      <c r="AK30" s="31">
        <v>102</v>
      </c>
      <c r="AL30" s="31">
        <v>94</v>
      </c>
      <c r="AM30" s="31">
        <v>107</v>
      </c>
      <c r="AN30" s="31">
        <v>93</v>
      </c>
      <c r="AO30" s="31">
        <v>122</v>
      </c>
      <c r="AP30" s="31">
        <v>119</v>
      </c>
      <c r="AQ30" s="32">
        <v>95</v>
      </c>
      <c r="AR30" s="30">
        <v>115</v>
      </c>
      <c r="AS30" s="31">
        <v>114</v>
      </c>
      <c r="AT30" s="31">
        <v>122</v>
      </c>
      <c r="AU30" s="31">
        <v>144</v>
      </c>
      <c r="AV30" s="31">
        <v>133</v>
      </c>
      <c r="AW30" s="31">
        <v>113</v>
      </c>
      <c r="AX30" s="31">
        <v>138</v>
      </c>
      <c r="AY30" s="31">
        <v>147</v>
      </c>
      <c r="AZ30" s="31">
        <v>152</v>
      </c>
      <c r="BA30" s="32">
        <v>131</v>
      </c>
      <c r="BB30" s="30">
        <v>156</v>
      </c>
      <c r="BC30" s="31">
        <v>133</v>
      </c>
      <c r="BD30" s="31">
        <v>157</v>
      </c>
      <c r="BE30" s="67">
        <v>126</v>
      </c>
      <c r="BF30" s="67">
        <v>144</v>
      </c>
      <c r="BG30" s="67">
        <v>155</v>
      </c>
      <c r="BH30" s="88">
        <v>149</v>
      </c>
      <c r="BI30" s="88">
        <v>168</v>
      </c>
      <c r="BJ30" s="88">
        <v>171</v>
      </c>
      <c r="BK30" s="89">
        <v>162</v>
      </c>
      <c r="BL30" s="87">
        <v>188</v>
      </c>
      <c r="BM30" s="88">
        <v>240</v>
      </c>
      <c r="BN30" s="88">
        <v>233</v>
      </c>
      <c r="BO30" s="5">
        <v>189</v>
      </c>
      <c r="BP30" s="5">
        <v>164</v>
      </c>
      <c r="BQ30" s="89">
        <v>184</v>
      </c>
    </row>
    <row r="31" spans="1:69" x14ac:dyDescent="0.2">
      <c r="A31" s="20" t="s">
        <v>53</v>
      </c>
      <c r="B31" s="21" t="s">
        <v>54</v>
      </c>
      <c r="C31" s="25" t="s">
        <v>2</v>
      </c>
      <c r="D31" s="30">
        <v>2905</v>
      </c>
      <c r="E31" s="31">
        <v>2994</v>
      </c>
      <c r="F31" s="31">
        <v>2962</v>
      </c>
      <c r="G31" s="31">
        <v>3183</v>
      </c>
      <c r="H31" s="31">
        <v>3092</v>
      </c>
      <c r="I31" s="31">
        <v>2935</v>
      </c>
      <c r="J31" s="31">
        <v>3165</v>
      </c>
      <c r="K31" s="31">
        <v>3307</v>
      </c>
      <c r="L31" s="31">
        <v>3427</v>
      </c>
      <c r="M31" s="32">
        <v>3320</v>
      </c>
      <c r="N31" s="30">
        <v>3360</v>
      </c>
      <c r="O31" s="31">
        <v>3327</v>
      </c>
      <c r="P31" s="31">
        <v>3433</v>
      </c>
      <c r="Q31" s="31">
        <v>3423</v>
      </c>
      <c r="R31" s="31">
        <v>3395</v>
      </c>
      <c r="S31" s="31">
        <v>3388</v>
      </c>
      <c r="T31" s="31">
        <v>3277</v>
      </c>
      <c r="U31" s="31">
        <v>3438</v>
      </c>
      <c r="V31" s="31">
        <v>3380</v>
      </c>
      <c r="W31" s="32">
        <v>3589</v>
      </c>
      <c r="X31" s="30">
        <v>3606</v>
      </c>
      <c r="Y31" s="31">
        <v>3668</v>
      </c>
      <c r="Z31" s="31">
        <v>3684</v>
      </c>
      <c r="AA31" s="31">
        <v>3749</v>
      </c>
      <c r="AB31" s="31">
        <v>3918</v>
      </c>
      <c r="AC31" s="31">
        <v>3846</v>
      </c>
      <c r="AD31" s="31">
        <v>3940</v>
      </c>
      <c r="AE31" s="31">
        <v>4232</v>
      </c>
      <c r="AF31" s="31">
        <v>4143</v>
      </c>
      <c r="AG31" s="32">
        <v>4227</v>
      </c>
      <c r="AH31" s="30">
        <v>4283</v>
      </c>
      <c r="AI31" s="31">
        <v>4268</v>
      </c>
      <c r="AJ31" s="31">
        <v>4613</v>
      </c>
      <c r="AK31" s="31">
        <v>4598</v>
      </c>
      <c r="AL31" s="31">
        <v>4681</v>
      </c>
      <c r="AM31" s="31">
        <v>4905</v>
      </c>
      <c r="AN31" s="31">
        <v>4898</v>
      </c>
      <c r="AO31" s="31">
        <v>4795</v>
      </c>
      <c r="AP31" s="31">
        <v>5064</v>
      </c>
      <c r="AQ31" s="32">
        <v>5093</v>
      </c>
      <c r="AR31" s="30">
        <v>5251</v>
      </c>
      <c r="AS31" s="31">
        <v>5441</v>
      </c>
      <c r="AT31" s="31">
        <v>5388</v>
      </c>
      <c r="AU31" s="31">
        <v>5476</v>
      </c>
      <c r="AV31" s="31">
        <v>5371</v>
      </c>
      <c r="AW31" s="31">
        <v>5377</v>
      </c>
      <c r="AX31" s="31">
        <v>5510</v>
      </c>
      <c r="AY31" s="31">
        <v>5701</v>
      </c>
      <c r="AZ31" s="31">
        <v>5804</v>
      </c>
      <c r="BA31" s="32">
        <v>5697</v>
      </c>
      <c r="BB31" s="30">
        <v>5649</v>
      </c>
      <c r="BC31" s="31">
        <v>5687</v>
      </c>
      <c r="BD31" s="31">
        <v>5837</v>
      </c>
      <c r="BE31" s="67">
        <v>5947</v>
      </c>
      <c r="BF31" s="67">
        <v>6273</v>
      </c>
      <c r="BG31" s="67">
        <v>6530</v>
      </c>
      <c r="BH31" s="88">
        <v>6848</v>
      </c>
      <c r="BI31" s="88">
        <v>6872</v>
      </c>
      <c r="BJ31" s="88">
        <v>6933</v>
      </c>
      <c r="BK31" s="89">
        <v>6964</v>
      </c>
      <c r="BL31" s="87">
        <v>7619</v>
      </c>
      <c r="BM31" s="88">
        <v>8567</v>
      </c>
      <c r="BN31" s="88">
        <v>8189</v>
      </c>
      <c r="BO31" s="5">
        <v>7961</v>
      </c>
      <c r="BP31" s="5">
        <v>8019</v>
      </c>
      <c r="BQ31" s="89">
        <v>8022</v>
      </c>
    </row>
    <row r="32" spans="1:69" x14ac:dyDescent="0.2">
      <c r="A32" s="20" t="s">
        <v>55</v>
      </c>
      <c r="B32" s="21" t="s">
        <v>56</v>
      </c>
      <c r="C32" s="25"/>
      <c r="D32" s="30">
        <v>50</v>
      </c>
      <c r="E32" s="31">
        <v>50</v>
      </c>
      <c r="F32" s="31">
        <v>38</v>
      </c>
      <c r="G32" s="31">
        <v>51</v>
      </c>
      <c r="H32" s="31">
        <v>56</v>
      </c>
      <c r="I32" s="31">
        <v>43</v>
      </c>
      <c r="J32" s="31">
        <v>43</v>
      </c>
      <c r="K32" s="31">
        <v>40</v>
      </c>
      <c r="L32" s="31">
        <v>40</v>
      </c>
      <c r="M32" s="32">
        <v>50</v>
      </c>
      <c r="N32" s="30">
        <v>53</v>
      </c>
      <c r="O32" s="31">
        <v>49</v>
      </c>
      <c r="P32" s="31">
        <v>56</v>
      </c>
      <c r="Q32" s="31">
        <v>52</v>
      </c>
      <c r="R32" s="31">
        <v>47</v>
      </c>
      <c r="S32" s="31">
        <v>59</v>
      </c>
      <c r="T32" s="31">
        <v>45</v>
      </c>
      <c r="U32" s="31">
        <v>50</v>
      </c>
      <c r="V32" s="31">
        <v>56</v>
      </c>
      <c r="W32" s="32">
        <v>69</v>
      </c>
      <c r="X32" s="30">
        <v>80</v>
      </c>
      <c r="Y32" s="31">
        <v>64</v>
      </c>
      <c r="Z32" s="31">
        <v>69</v>
      </c>
      <c r="AA32" s="31">
        <v>74</v>
      </c>
      <c r="AB32" s="31">
        <v>92</v>
      </c>
      <c r="AC32" s="31">
        <v>79</v>
      </c>
      <c r="AD32" s="31">
        <v>60</v>
      </c>
      <c r="AE32" s="31">
        <v>92</v>
      </c>
      <c r="AF32" s="31">
        <v>84</v>
      </c>
      <c r="AG32" s="32">
        <v>79</v>
      </c>
      <c r="AH32" s="30">
        <v>83</v>
      </c>
      <c r="AI32" s="31">
        <v>97</v>
      </c>
      <c r="AJ32" s="31">
        <v>92</v>
      </c>
      <c r="AK32" s="31">
        <v>111</v>
      </c>
      <c r="AL32" s="31">
        <v>96</v>
      </c>
      <c r="AM32" s="31">
        <v>98</v>
      </c>
      <c r="AN32" s="31">
        <v>88</v>
      </c>
      <c r="AO32" s="31">
        <v>104</v>
      </c>
      <c r="AP32" s="31">
        <v>98</v>
      </c>
      <c r="AQ32" s="32">
        <v>109</v>
      </c>
      <c r="AR32" s="30">
        <v>115</v>
      </c>
      <c r="AS32" s="31">
        <v>130</v>
      </c>
      <c r="AT32" s="31">
        <v>120</v>
      </c>
      <c r="AU32" s="31">
        <v>113</v>
      </c>
      <c r="AV32" s="31">
        <v>106</v>
      </c>
      <c r="AW32" s="31">
        <v>109</v>
      </c>
      <c r="AX32" s="31">
        <v>120</v>
      </c>
      <c r="AY32" s="31">
        <v>134</v>
      </c>
      <c r="AZ32" s="31">
        <v>116</v>
      </c>
      <c r="BA32" s="32">
        <v>129</v>
      </c>
      <c r="BB32" s="30">
        <v>104</v>
      </c>
      <c r="BC32" s="31">
        <v>131</v>
      </c>
      <c r="BD32" s="31">
        <v>155</v>
      </c>
      <c r="BE32" s="67">
        <v>134</v>
      </c>
      <c r="BF32" s="67">
        <v>149</v>
      </c>
      <c r="BG32" s="67">
        <v>158</v>
      </c>
      <c r="BH32" s="88">
        <v>156</v>
      </c>
      <c r="BI32" s="88">
        <v>126</v>
      </c>
      <c r="BJ32" s="88">
        <v>137</v>
      </c>
      <c r="BK32" s="89">
        <v>150</v>
      </c>
      <c r="BL32" s="87">
        <v>149</v>
      </c>
      <c r="BM32" s="88">
        <v>161</v>
      </c>
      <c r="BN32" s="88">
        <v>141</v>
      </c>
      <c r="BO32" s="5">
        <v>156</v>
      </c>
      <c r="BP32" s="5">
        <v>187</v>
      </c>
      <c r="BQ32" s="89">
        <v>188</v>
      </c>
    </row>
    <row r="33" spans="1:69" x14ac:dyDescent="0.2">
      <c r="A33" s="20" t="s">
        <v>57</v>
      </c>
      <c r="B33" s="21" t="s">
        <v>58</v>
      </c>
      <c r="C33" s="25" t="s">
        <v>2</v>
      </c>
      <c r="D33" s="30">
        <v>467</v>
      </c>
      <c r="E33" s="31">
        <v>538</v>
      </c>
      <c r="F33" s="31">
        <v>500</v>
      </c>
      <c r="G33" s="31">
        <v>507</v>
      </c>
      <c r="H33" s="31">
        <v>470</v>
      </c>
      <c r="I33" s="31">
        <v>487</v>
      </c>
      <c r="J33" s="31">
        <v>530</v>
      </c>
      <c r="K33" s="31">
        <v>550</v>
      </c>
      <c r="L33" s="31">
        <v>540</v>
      </c>
      <c r="M33" s="32">
        <v>559</v>
      </c>
      <c r="N33" s="30">
        <v>536</v>
      </c>
      <c r="O33" s="31">
        <v>573</v>
      </c>
      <c r="P33" s="31">
        <v>591</v>
      </c>
      <c r="Q33" s="31">
        <v>566</v>
      </c>
      <c r="R33" s="31">
        <v>581</v>
      </c>
      <c r="S33" s="31">
        <v>574</v>
      </c>
      <c r="T33" s="31">
        <v>537</v>
      </c>
      <c r="U33" s="31">
        <v>590</v>
      </c>
      <c r="V33" s="31">
        <v>568</v>
      </c>
      <c r="W33" s="32">
        <v>670</v>
      </c>
      <c r="X33" s="30">
        <v>629</v>
      </c>
      <c r="Y33" s="31">
        <v>615</v>
      </c>
      <c r="Z33" s="31">
        <v>625</v>
      </c>
      <c r="AA33" s="31">
        <v>661</v>
      </c>
      <c r="AB33" s="31">
        <v>654</v>
      </c>
      <c r="AC33" s="31">
        <v>678</v>
      </c>
      <c r="AD33" s="31">
        <v>681</v>
      </c>
      <c r="AE33" s="31">
        <v>697</v>
      </c>
      <c r="AF33" s="31">
        <v>737</v>
      </c>
      <c r="AG33" s="32">
        <v>706</v>
      </c>
      <c r="AH33" s="30">
        <v>763</v>
      </c>
      <c r="AI33" s="31">
        <v>733</v>
      </c>
      <c r="AJ33" s="31">
        <v>825</v>
      </c>
      <c r="AK33" s="31">
        <v>812</v>
      </c>
      <c r="AL33" s="31">
        <v>763</v>
      </c>
      <c r="AM33" s="31">
        <v>799</v>
      </c>
      <c r="AN33" s="31">
        <v>860</v>
      </c>
      <c r="AO33" s="31">
        <v>872</v>
      </c>
      <c r="AP33" s="31">
        <v>920</v>
      </c>
      <c r="AQ33" s="32">
        <v>931</v>
      </c>
      <c r="AR33" s="30">
        <v>939</v>
      </c>
      <c r="AS33" s="31">
        <v>965</v>
      </c>
      <c r="AT33" s="31">
        <v>996</v>
      </c>
      <c r="AU33" s="31">
        <v>1068</v>
      </c>
      <c r="AV33" s="31">
        <v>958</v>
      </c>
      <c r="AW33" s="31">
        <v>1034</v>
      </c>
      <c r="AX33" s="31">
        <v>983</v>
      </c>
      <c r="AY33" s="31">
        <v>1011</v>
      </c>
      <c r="AZ33" s="31">
        <v>1176</v>
      </c>
      <c r="BA33" s="32">
        <v>1064</v>
      </c>
      <c r="BB33" s="30">
        <v>1095</v>
      </c>
      <c r="BC33" s="31">
        <v>1102</v>
      </c>
      <c r="BD33" s="31">
        <v>1094</v>
      </c>
      <c r="BE33" s="67">
        <v>1086</v>
      </c>
      <c r="BF33" s="67">
        <v>1154</v>
      </c>
      <c r="BG33" s="67">
        <v>1176</v>
      </c>
      <c r="BH33" s="88">
        <v>1255</v>
      </c>
      <c r="BI33" s="88">
        <v>1234</v>
      </c>
      <c r="BJ33" s="88">
        <v>1269</v>
      </c>
      <c r="BK33" s="89">
        <v>1244</v>
      </c>
      <c r="BL33" s="87">
        <v>1391</v>
      </c>
      <c r="BM33" s="88">
        <v>1550</v>
      </c>
      <c r="BN33" s="88">
        <v>1441</v>
      </c>
      <c r="BO33" s="5">
        <v>1484</v>
      </c>
      <c r="BP33" s="5">
        <v>1430</v>
      </c>
      <c r="BQ33" s="89">
        <v>1536</v>
      </c>
    </row>
    <row r="34" spans="1:69" x14ac:dyDescent="0.2">
      <c r="A34" s="20" t="s">
        <v>59</v>
      </c>
      <c r="B34" s="21" t="s">
        <v>60</v>
      </c>
      <c r="C34" s="25" t="s">
        <v>2</v>
      </c>
      <c r="D34" s="30">
        <v>49</v>
      </c>
      <c r="E34" s="31">
        <v>33</v>
      </c>
      <c r="F34" s="31">
        <v>44</v>
      </c>
      <c r="G34" s="31">
        <v>56</v>
      </c>
      <c r="H34" s="31">
        <v>38</v>
      </c>
      <c r="I34" s="31">
        <v>48</v>
      </c>
      <c r="J34" s="31">
        <v>50</v>
      </c>
      <c r="K34" s="31">
        <v>49</v>
      </c>
      <c r="L34" s="31">
        <v>52</v>
      </c>
      <c r="M34" s="32">
        <v>45</v>
      </c>
      <c r="N34" s="30">
        <v>49</v>
      </c>
      <c r="O34" s="31">
        <v>46</v>
      </c>
      <c r="P34" s="31">
        <v>37</v>
      </c>
      <c r="Q34" s="31">
        <v>40</v>
      </c>
      <c r="R34" s="31">
        <v>42</v>
      </c>
      <c r="S34" s="31">
        <v>50</v>
      </c>
      <c r="T34" s="31">
        <v>34</v>
      </c>
      <c r="U34" s="31">
        <v>52</v>
      </c>
      <c r="V34" s="31">
        <v>38</v>
      </c>
      <c r="W34" s="32">
        <v>59</v>
      </c>
      <c r="X34" s="30">
        <v>29</v>
      </c>
      <c r="Y34" s="31">
        <v>40</v>
      </c>
      <c r="Z34" s="31">
        <v>34</v>
      </c>
      <c r="AA34" s="31">
        <v>39</v>
      </c>
      <c r="AB34" s="31">
        <v>53</v>
      </c>
      <c r="AC34" s="31">
        <v>43</v>
      </c>
      <c r="AD34" s="31">
        <v>58</v>
      </c>
      <c r="AE34" s="31">
        <v>50</v>
      </c>
      <c r="AF34" s="31">
        <v>51</v>
      </c>
      <c r="AG34" s="32">
        <v>63</v>
      </c>
      <c r="AH34" s="30">
        <v>54</v>
      </c>
      <c r="AI34" s="31">
        <v>48</v>
      </c>
      <c r="AJ34" s="31">
        <v>66</v>
      </c>
      <c r="AK34" s="31">
        <v>67</v>
      </c>
      <c r="AL34" s="31">
        <v>61</v>
      </c>
      <c r="AM34" s="31">
        <v>63</v>
      </c>
      <c r="AN34" s="31">
        <v>66</v>
      </c>
      <c r="AO34" s="31">
        <v>75</v>
      </c>
      <c r="AP34" s="31">
        <v>60</v>
      </c>
      <c r="AQ34" s="32">
        <v>78</v>
      </c>
      <c r="AR34" s="30">
        <v>77</v>
      </c>
      <c r="AS34" s="31">
        <v>66</v>
      </c>
      <c r="AT34" s="31">
        <v>57</v>
      </c>
      <c r="AU34" s="31">
        <v>65</v>
      </c>
      <c r="AV34" s="31">
        <v>88</v>
      </c>
      <c r="AW34" s="31">
        <v>73</v>
      </c>
      <c r="AX34" s="31">
        <v>78</v>
      </c>
      <c r="AY34" s="31">
        <v>67</v>
      </c>
      <c r="AZ34" s="31">
        <v>70</v>
      </c>
      <c r="BA34" s="32">
        <v>95</v>
      </c>
      <c r="BB34" s="30">
        <v>80</v>
      </c>
      <c r="BC34" s="31">
        <v>83</v>
      </c>
      <c r="BD34" s="31">
        <v>87</v>
      </c>
      <c r="BE34" s="67">
        <v>79</v>
      </c>
      <c r="BF34" s="67">
        <v>79</v>
      </c>
      <c r="BG34" s="67">
        <v>88</v>
      </c>
      <c r="BH34" s="88">
        <v>105</v>
      </c>
      <c r="BI34" s="88">
        <v>78</v>
      </c>
      <c r="BJ34" s="88">
        <v>92</v>
      </c>
      <c r="BK34" s="89">
        <v>98</v>
      </c>
      <c r="BL34" s="87">
        <v>107</v>
      </c>
      <c r="BM34" s="88">
        <v>112</v>
      </c>
      <c r="BN34" s="88">
        <v>108</v>
      </c>
      <c r="BO34" s="5">
        <v>124</v>
      </c>
      <c r="BP34" s="5">
        <v>138</v>
      </c>
      <c r="BQ34" s="89">
        <v>95</v>
      </c>
    </row>
    <row r="35" spans="1:69" x14ac:dyDescent="0.2">
      <c r="A35" s="20" t="s">
        <v>61</v>
      </c>
      <c r="B35" s="21" t="s">
        <v>62</v>
      </c>
      <c r="C35" s="25" t="s">
        <v>2</v>
      </c>
      <c r="D35" s="30">
        <v>1522</v>
      </c>
      <c r="E35" s="31">
        <v>1567</v>
      </c>
      <c r="F35" s="31">
        <v>1699</v>
      </c>
      <c r="G35" s="31">
        <v>1680</v>
      </c>
      <c r="H35" s="31">
        <v>1665</v>
      </c>
      <c r="I35" s="31">
        <v>1697</v>
      </c>
      <c r="J35" s="31">
        <v>1832</v>
      </c>
      <c r="K35" s="31">
        <v>1913</v>
      </c>
      <c r="L35" s="31">
        <v>1948</v>
      </c>
      <c r="M35" s="32">
        <v>1914</v>
      </c>
      <c r="N35" s="30">
        <v>1848</v>
      </c>
      <c r="O35" s="31">
        <v>1956</v>
      </c>
      <c r="P35" s="31">
        <v>1919</v>
      </c>
      <c r="Q35" s="31">
        <v>1973</v>
      </c>
      <c r="R35" s="31">
        <v>1965</v>
      </c>
      <c r="S35" s="31">
        <v>1997</v>
      </c>
      <c r="T35" s="31">
        <v>1962</v>
      </c>
      <c r="U35" s="31">
        <v>2097</v>
      </c>
      <c r="V35" s="31">
        <v>2117</v>
      </c>
      <c r="W35" s="32">
        <v>2165</v>
      </c>
      <c r="X35" s="30">
        <v>2148</v>
      </c>
      <c r="Y35" s="31">
        <v>2286</v>
      </c>
      <c r="Z35" s="31">
        <v>2303</v>
      </c>
      <c r="AA35" s="31">
        <v>2403</v>
      </c>
      <c r="AB35" s="31">
        <v>2508</v>
      </c>
      <c r="AC35" s="31">
        <v>2531</v>
      </c>
      <c r="AD35" s="31">
        <v>2575</v>
      </c>
      <c r="AE35" s="31">
        <v>2742</v>
      </c>
      <c r="AF35" s="31">
        <v>2831</v>
      </c>
      <c r="AG35" s="32">
        <v>2780</v>
      </c>
      <c r="AH35" s="30">
        <v>2832</v>
      </c>
      <c r="AI35" s="31">
        <v>2889</v>
      </c>
      <c r="AJ35" s="31">
        <v>3163</v>
      </c>
      <c r="AK35" s="31">
        <v>3209</v>
      </c>
      <c r="AL35" s="31">
        <v>3202</v>
      </c>
      <c r="AM35" s="31">
        <v>3229</v>
      </c>
      <c r="AN35" s="31">
        <v>3523</v>
      </c>
      <c r="AO35" s="31">
        <v>3500</v>
      </c>
      <c r="AP35" s="31">
        <v>3666</v>
      </c>
      <c r="AQ35" s="32">
        <v>3824</v>
      </c>
      <c r="AR35" s="30">
        <v>3798</v>
      </c>
      <c r="AS35" s="31">
        <v>3990</v>
      </c>
      <c r="AT35" s="31">
        <v>4025</v>
      </c>
      <c r="AU35" s="31">
        <v>4205</v>
      </c>
      <c r="AV35" s="31">
        <v>4216</v>
      </c>
      <c r="AW35" s="31">
        <v>4136</v>
      </c>
      <c r="AX35" s="31">
        <v>4203</v>
      </c>
      <c r="AY35" s="31">
        <v>4413</v>
      </c>
      <c r="AZ35" s="31">
        <v>4309</v>
      </c>
      <c r="BA35" s="32">
        <v>4436</v>
      </c>
      <c r="BB35" s="30">
        <v>4513</v>
      </c>
      <c r="BC35" s="31">
        <v>4653</v>
      </c>
      <c r="BD35" s="31">
        <v>4832</v>
      </c>
      <c r="BE35" s="67">
        <v>4918</v>
      </c>
      <c r="BF35" s="67">
        <v>4980</v>
      </c>
      <c r="BG35" s="67">
        <v>5279</v>
      </c>
      <c r="BH35" s="88">
        <v>5553</v>
      </c>
      <c r="BI35" s="88">
        <v>5456</v>
      </c>
      <c r="BJ35" s="88">
        <v>5570</v>
      </c>
      <c r="BK35" s="89">
        <v>5771</v>
      </c>
      <c r="BL35" s="87">
        <v>6304</v>
      </c>
      <c r="BM35" s="88">
        <v>6645</v>
      </c>
      <c r="BN35" s="88">
        <v>6532</v>
      </c>
      <c r="BO35" s="5">
        <v>6301</v>
      </c>
      <c r="BP35" s="5">
        <v>6366</v>
      </c>
      <c r="BQ35" s="89">
        <v>6556</v>
      </c>
    </row>
    <row r="36" spans="1:69" x14ac:dyDescent="0.2">
      <c r="A36" s="20" t="s">
        <v>63</v>
      </c>
      <c r="B36" s="21" t="s">
        <v>64</v>
      </c>
      <c r="C36" s="25" t="s">
        <v>2</v>
      </c>
      <c r="D36" s="30">
        <v>2602</v>
      </c>
      <c r="E36" s="31">
        <v>2789</v>
      </c>
      <c r="F36" s="31">
        <v>2793</v>
      </c>
      <c r="G36" s="31">
        <v>2824</v>
      </c>
      <c r="H36" s="31">
        <v>2786</v>
      </c>
      <c r="I36" s="31">
        <v>2892</v>
      </c>
      <c r="J36" s="31">
        <v>2796</v>
      </c>
      <c r="K36" s="31">
        <v>2950</v>
      </c>
      <c r="L36" s="31">
        <v>3034</v>
      </c>
      <c r="M36" s="32">
        <v>2962</v>
      </c>
      <c r="N36" s="30">
        <v>2914</v>
      </c>
      <c r="O36" s="31">
        <v>3036</v>
      </c>
      <c r="P36" s="31">
        <v>3031</v>
      </c>
      <c r="Q36" s="31">
        <v>2901</v>
      </c>
      <c r="R36" s="31">
        <v>2833</v>
      </c>
      <c r="S36" s="31">
        <v>2862</v>
      </c>
      <c r="T36" s="31">
        <v>2813</v>
      </c>
      <c r="U36" s="31">
        <v>2736</v>
      </c>
      <c r="V36" s="31">
        <v>2744</v>
      </c>
      <c r="W36" s="32">
        <v>2726</v>
      </c>
      <c r="X36" s="30">
        <v>2941</v>
      </c>
      <c r="Y36" s="31">
        <v>2863</v>
      </c>
      <c r="Z36" s="31">
        <v>2842</v>
      </c>
      <c r="AA36" s="31">
        <v>2990</v>
      </c>
      <c r="AB36" s="31">
        <v>3106</v>
      </c>
      <c r="AC36" s="31">
        <v>3003</v>
      </c>
      <c r="AD36" s="31">
        <v>3134</v>
      </c>
      <c r="AE36" s="31">
        <v>3168</v>
      </c>
      <c r="AF36" s="31">
        <v>3060</v>
      </c>
      <c r="AG36" s="32">
        <v>2983</v>
      </c>
      <c r="AH36" s="30">
        <v>3115</v>
      </c>
      <c r="AI36" s="31">
        <v>3133</v>
      </c>
      <c r="AJ36" s="31">
        <v>3348</v>
      </c>
      <c r="AK36" s="31">
        <v>3371</v>
      </c>
      <c r="AL36" s="31">
        <v>3218</v>
      </c>
      <c r="AM36" s="31">
        <v>3531</v>
      </c>
      <c r="AN36" s="31">
        <v>3429</v>
      </c>
      <c r="AO36" s="31">
        <v>3466</v>
      </c>
      <c r="AP36" s="31">
        <v>3506</v>
      </c>
      <c r="AQ36" s="32">
        <v>3631</v>
      </c>
      <c r="AR36" s="30">
        <v>3637</v>
      </c>
      <c r="AS36" s="31">
        <v>3723</v>
      </c>
      <c r="AT36" s="31">
        <v>3598</v>
      </c>
      <c r="AU36" s="31">
        <v>3726</v>
      </c>
      <c r="AV36" s="31">
        <v>3771</v>
      </c>
      <c r="AW36" s="31">
        <v>3566</v>
      </c>
      <c r="AX36" s="31">
        <v>3721</v>
      </c>
      <c r="AY36" s="31">
        <v>3869</v>
      </c>
      <c r="AZ36" s="31">
        <v>4079</v>
      </c>
      <c r="BA36" s="32">
        <v>3922</v>
      </c>
      <c r="BB36" s="30">
        <v>3966</v>
      </c>
      <c r="BC36" s="31">
        <v>4039</v>
      </c>
      <c r="BD36" s="31">
        <v>4249</v>
      </c>
      <c r="BE36" s="67">
        <v>4139</v>
      </c>
      <c r="BF36" s="67">
        <v>4332</v>
      </c>
      <c r="BG36" s="67">
        <v>4538</v>
      </c>
      <c r="BH36" s="88">
        <v>4550</v>
      </c>
      <c r="BI36" s="88">
        <v>4714</v>
      </c>
      <c r="BJ36" s="88">
        <v>4719</v>
      </c>
      <c r="BK36" s="89">
        <v>4743</v>
      </c>
      <c r="BL36" s="87">
        <v>5433</v>
      </c>
      <c r="BM36" s="88">
        <v>5928</v>
      </c>
      <c r="BN36" s="88">
        <v>5486</v>
      </c>
      <c r="BO36" s="5">
        <v>5430</v>
      </c>
      <c r="BP36" s="5">
        <v>5557</v>
      </c>
      <c r="BQ36" s="89">
        <v>5442</v>
      </c>
    </row>
    <row r="37" spans="1:69" x14ac:dyDescent="0.2">
      <c r="A37" s="20" t="s">
        <v>65</v>
      </c>
      <c r="B37" s="21" t="s">
        <v>66</v>
      </c>
      <c r="C37" s="25"/>
      <c r="D37" s="30">
        <v>193</v>
      </c>
      <c r="E37" s="31">
        <v>197</v>
      </c>
      <c r="F37" s="31">
        <v>163</v>
      </c>
      <c r="G37" s="31">
        <v>191</v>
      </c>
      <c r="H37" s="31">
        <v>196</v>
      </c>
      <c r="I37" s="31">
        <v>194</v>
      </c>
      <c r="J37" s="31">
        <v>164</v>
      </c>
      <c r="K37" s="31">
        <v>194</v>
      </c>
      <c r="L37" s="31">
        <v>178</v>
      </c>
      <c r="M37" s="32">
        <v>172</v>
      </c>
      <c r="N37" s="30">
        <v>181</v>
      </c>
      <c r="O37" s="31">
        <v>203</v>
      </c>
      <c r="P37" s="31">
        <v>199</v>
      </c>
      <c r="Q37" s="31">
        <v>181</v>
      </c>
      <c r="R37" s="31">
        <v>189</v>
      </c>
      <c r="S37" s="31">
        <v>203</v>
      </c>
      <c r="T37" s="31">
        <v>176</v>
      </c>
      <c r="U37" s="31">
        <v>202</v>
      </c>
      <c r="V37" s="31">
        <v>195</v>
      </c>
      <c r="W37" s="32">
        <v>207</v>
      </c>
      <c r="X37" s="30">
        <v>189</v>
      </c>
      <c r="Y37" s="31">
        <v>248</v>
      </c>
      <c r="Z37" s="31">
        <v>250</v>
      </c>
      <c r="AA37" s="31">
        <v>247</v>
      </c>
      <c r="AB37" s="31">
        <v>246</v>
      </c>
      <c r="AC37" s="31">
        <v>216</v>
      </c>
      <c r="AD37" s="31">
        <v>233</v>
      </c>
      <c r="AE37" s="31">
        <v>251</v>
      </c>
      <c r="AF37" s="31">
        <v>260</v>
      </c>
      <c r="AG37" s="32">
        <v>270</v>
      </c>
      <c r="AH37" s="30">
        <v>271</v>
      </c>
      <c r="AI37" s="31">
        <v>268</v>
      </c>
      <c r="AJ37" s="31">
        <v>259</v>
      </c>
      <c r="AK37" s="31">
        <v>263</v>
      </c>
      <c r="AL37" s="31">
        <v>323</v>
      </c>
      <c r="AM37" s="31">
        <v>306</v>
      </c>
      <c r="AN37" s="31">
        <v>303</v>
      </c>
      <c r="AO37" s="31">
        <v>311</v>
      </c>
      <c r="AP37" s="31">
        <v>299</v>
      </c>
      <c r="AQ37" s="32">
        <v>347</v>
      </c>
      <c r="AR37" s="30">
        <v>366</v>
      </c>
      <c r="AS37" s="31">
        <v>353</v>
      </c>
      <c r="AT37" s="31">
        <v>390</v>
      </c>
      <c r="AU37" s="31">
        <v>400</v>
      </c>
      <c r="AV37" s="31">
        <v>399</v>
      </c>
      <c r="AW37" s="31">
        <v>388</v>
      </c>
      <c r="AX37" s="31">
        <v>404</v>
      </c>
      <c r="AY37" s="31">
        <v>387</v>
      </c>
      <c r="AZ37" s="31">
        <v>408</v>
      </c>
      <c r="BA37" s="32">
        <v>410</v>
      </c>
      <c r="BB37" s="30">
        <v>406</v>
      </c>
      <c r="BC37" s="31">
        <v>417</v>
      </c>
      <c r="BD37" s="31">
        <v>420</v>
      </c>
      <c r="BE37" s="67">
        <v>410</v>
      </c>
      <c r="BF37" s="67">
        <v>449</v>
      </c>
      <c r="BG37" s="67">
        <v>500</v>
      </c>
      <c r="BH37" s="88">
        <v>468</v>
      </c>
      <c r="BI37" s="88">
        <v>459</v>
      </c>
      <c r="BJ37" s="88">
        <v>461</v>
      </c>
      <c r="BK37" s="89">
        <v>466</v>
      </c>
      <c r="BL37" s="87">
        <v>525</v>
      </c>
      <c r="BM37" s="88">
        <v>668</v>
      </c>
      <c r="BN37" s="88">
        <v>592</v>
      </c>
      <c r="BO37" s="5">
        <v>560</v>
      </c>
      <c r="BP37" s="5">
        <v>562</v>
      </c>
      <c r="BQ37" s="89">
        <v>504</v>
      </c>
    </row>
    <row r="38" spans="1:69" x14ac:dyDescent="0.2">
      <c r="A38" s="20" t="s">
        <v>67</v>
      </c>
      <c r="B38" s="21" t="s">
        <v>68</v>
      </c>
      <c r="C38" s="25" t="s">
        <v>2</v>
      </c>
      <c r="D38" s="30">
        <v>462</v>
      </c>
      <c r="E38" s="31">
        <v>514</v>
      </c>
      <c r="F38" s="31">
        <v>544</v>
      </c>
      <c r="G38" s="31">
        <v>538</v>
      </c>
      <c r="H38" s="31">
        <v>538</v>
      </c>
      <c r="I38" s="31">
        <v>555</v>
      </c>
      <c r="J38" s="31">
        <v>626</v>
      </c>
      <c r="K38" s="31">
        <v>639</v>
      </c>
      <c r="L38" s="31">
        <v>658</v>
      </c>
      <c r="M38" s="32">
        <v>655</v>
      </c>
      <c r="N38" s="30">
        <v>647</v>
      </c>
      <c r="O38" s="31">
        <v>671</v>
      </c>
      <c r="P38" s="31">
        <v>661</v>
      </c>
      <c r="Q38" s="31">
        <v>736</v>
      </c>
      <c r="R38" s="31">
        <v>721</v>
      </c>
      <c r="S38" s="31">
        <v>749</v>
      </c>
      <c r="T38" s="31">
        <v>713</v>
      </c>
      <c r="U38" s="31">
        <v>820</v>
      </c>
      <c r="V38" s="31">
        <v>875</v>
      </c>
      <c r="W38" s="32">
        <v>924</v>
      </c>
      <c r="X38" s="30">
        <v>888</v>
      </c>
      <c r="Y38" s="31">
        <v>924</v>
      </c>
      <c r="Z38" s="31">
        <v>995</v>
      </c>
      <c r="AA38" s="31">
        <v>986</v>
      </c>
      <c r="AB38" s="31">
        <v>953</v>
      </c>
      <c r="AC38" s="31">
        <v>950</v>
      </c>
      <c r="AD38" s="31">
        <v>1080</v>
      </c>
      <c r="AE38" s="31">
        <v>1118</v>
      </c>
      <c r="AF38" s="31">
        <v>1131</v>
      </c>
      <c r="AG38" s="32">
        <v>1090</v>
      </c>
      <c r="AH38" s="30">
        <v>1154</v>
      </c>
      <c r="AI38" s="31">
        <v>1174</v>
      </c>
      <c r="AJ38" s="31">
        <v>1262</v>
      </c>
      <c r="AK38" s="31">
        <v>1264</v>
      </c>
      <c r="AL38" s="31">
        <v>1356</v>
      </c>
      <c r="AM38" s="31">
        <v>1384</v>
      </c>
      <c r="AN38" s="31">
        <v>1489</v>
      </c>
      <c r="AO38" s="31">
        <v>1404</v>
      </c>
      <c r="AP38" s="31">
        <v>1608</v>
      </c>
      <c r="AQ38" s="32">
        <v>1496</v>
      </c>
      <c r="AR38" s="30">
        <v>1554</v>
      </c>
      <c r="AS38" s="31">
        <v>1641</v>
      </c>
      <c r="AT38" s="31">
        <v>1633</v>
      </c>
      <c r="AU38" s="31">
        <v>1704</v>
      </c>
      <c r="AV38" s="31">
        <v>1638</v>
      </c>
      <c r="AW38" s="31">
        <v>1730</v>
      </c>
      <c r="AX38" s="31">
        <v>1833</v>
      </c>
      <c r="AY38" s="31">
        <v>1887</v>
      </c>
      <c r="AZ38" s="31">
        <v>1813</v>
      </c>
      <c r="BA38" s="32">
        <v>1816</v>
      </c>
      <c r="BB38" s="30">
        <v>1872</v>
      </c>
      <c r="BC38" s="31">
        <v>1955</v>
      </c>
      <c r="BD38" s="31">
        <v>2011</v>
      </c>
      <c r="BE38" s="67">
        <v>1957</v>
      </c>
      <c r="BF38" s="67">
        <v>2111</v>
      </c>
      <c r="BG38" s="67">
        <v>2205</v>
      </c>
      <c r="BH38" s="88">
        <v>2228</v>
      </c>
      <c r="BI38" s="88">
        <v>2319</v>
      </c>
      <c r="BJ38" s="88">
        <v>2417</v>
      </c>
      <c r="BK38" s="89">
        <v>2408</v>
      </c>
      <c r="BL38" s="87">
        <v>2547</v>
      </c>
      <c r="BM38" s="88">
        <v>3094</v>
      </c>
      <c r="BN38" s="88">
        <v>2973</v>
      </c>
      <c r="BO38" s="5">
        <v>2759</v>
      </c>
      <c r="BP38" s="5">
        <v>2804</v>
      </c>
      <c r="BQ38" s="89">
        <v>2811</v>
      </c>
    </row>
    <row r="39" spans="1:69" x14ac:dyDescent="0.2">
      <c r="A39" s="20" t="s">
        <v>69</v>
      </c>
      <c r="B39" s="21" t="s">
        <v>70</v>
      </c>
      <c r="C39" s="25" t="s">
        <v>2</v>
      </c>
      <c r="D39" s="30">
        <v>38</v>
      </c>
      <c r="E39" s="31">
        <v>34</v>
      </c>
      <c r="F39" s="31">
        <v>48</v>
      </c>
      <c r="G39" s="31">
        <v>52</v>
      </c>
      <c r="H39" s="31">
        <v>32</v>
      </c>
      <c r="I39" s="31">
        <v>34</v>
      </c>
      <c r="J39" s="31">
        <v>52</v>
      </c>
      <c r="K39" s="31">
        <v>55</v>
      </c>
      <c r="L39" s="31">
        <v>39</v>
      </c>
      <c r="M39" s="32">
        <v>44</v>
      </c>
      <c r="N39" s="30">
        <v>53</v>
      </c>
      <c r="O39" s="31">
        <v>31</v>
      </c>
      <c r="P39" s="31">
        <v>43</v>
      </c>
      <c r="Q39" s="31">
        <v>37</v>
      </c>
      <c r="R39" s="31">
        <v>44</v>
      </c>
      <c r="S39" s="31">
        <v>21</v>
      </c>
      <c r="T39" s="31">
        <v>27</v>
      </c>
      <c r="U39" s="31">
        <v>28</v>
      </c>
      <c r="V39" s="31">
        <v>36</v>
      </c>
      <c r="W39" s="32">
        <v>27</v>
      </c>
      <c r="X39" s="30">
        <v>45</v>
      </c>
      <c r="Y39" s="31">
        <v>35</v>
      </c>
      <c r="Z39" s="31">
        <v>27</v>
      </c>
      <c r="AA39" s="31">
        <v>37</v>
      </c>
      <c r="AB39" s="31">
        <v>44</v>
      </c>
      <c r="AC39" s="31">
        <v>43</v>
      </c>
      <c r="AD39" s="31">
        <v>28</v>
      </c>
      <c r="AE39" s="31">
        <v>33</v>
      </c>
      <c r="AF39" s="31">
        <v>34</v>
      </c>
      <c r="AG39" s="32">
        <v>35</v>
      </c>
      <c r="AH39" s="30">
        <v>39</v>
      </c>
      <c r="AI39" s="31">
        <v>45</v>
      </c>
      <c r="AJ39" s="31">
        <v>37</v>
      </c>
      <c r="AK39" s="31">
        <v>45</v>
      </c>
      <c r="AL39" s="31">
        <v>34</v>
      </c>
      <c r="AM39" s="31">
        <v>46</v>
      </c>
      <c r="AN39" s="31">
        <v>48</v>
      </c>
      <c r="AO39" s="31">
        <v>50</v>
      </c>
      <c r="AP39" s="31">
        <v>52</v>
      </c>
      <c r="AQ39" s="32">
        <v>43</v>
      </c>
      <c r="AR39" s="30">
        <v>49</v>
      </c>
      <c r="AS39" s="31">
        <v>47</v>
      </c>
      <c r="AT39" s="31">
        <v>59</v>
      </c>
      <c r="AU39" s="31">
        <v>54</v>
      </c>
      <c r="AV39" s="31">
        <v>46</v>
      </c>
      <c r="AW39" s="31">
        <v>40</v>
      </c>
      <c r="AX39" s="31">
        <v>44</v>
      </c>
      <c r="AY39" s="31">
        <v>52</v>
      </c>
      <c r="AZ39" s="31">
        <v>56</v>
      </c>
      <c r="BA39" s="32">
        <v>41</v>
      </c>
      <c r="BB39" s="30">
        <v>47</v>
      </c>
      <c r="BC39" s="31">
        <v>50</v>
      </c>
      <c r="BD39" s="31">
        <v>50</v>
      </c>
      <c r="BE39" s="67">
        <v>51</v>
      </c>
      <c r="BF39" s="67">
        <v>51</v>
      </c>
      <c r="BG39" s="67">
        <v>46</v>
      </c>
      <c r="BH39" s="88">
        <v>43</v>
      </c>
      <c r="BI39" s="88">
        <v>44</v>
      </c>
      <c r="BJ39" s="88">
        <v>55</v>
      </c>
      <c r="BK39" s="89">
        <v>61</v>
      </c>
      <c r="BL39" s="87">
        <v>50</v>
      </c>
      <c r="BM39" s="88">
        <v>63</v>
      </c>
      <c r="BN39" s="88">
        <v>71</v>
      </c>
      <c r="BO39" s="5">
        <v>65</v>
      </c>
      <c r="BP39" s="5">
        <v>77</v>
      </c>
      <c r="BQ39" s="89">
        <v>54</v>
      </c>
    </row>
    <row r="40" spans="1:69" x14ac:dyDescent="0.2">
      <c r="A40" s="20" t="s">
        <v>71</v>
      </c>
      <c r="B40" s="21" t="s">
        <v>72</v>
      </c>
      <c r="C40" s="25" t="s">
        <v>2</v>
      </c>
      <c r="D40" s="30">
        <v>416</v>
      </c>
      <c r="E40" s="31">
        <v>431</v>
      </c>
      <c r="F40" s="31">
        <v>439</v>
      </c>
      <c r="G40" s="31">
        <v>430</v>
      </c>
      <c r="H40" s="31">
        <v>431</v>
      </c>
      <c r="I40" s="31">
        <v>472</v>
      </c>
      <c r="J40" s="31">
        <v>445</v>
      </c>
      <c r="K40" s="31">
        <v>455</v>
      </c>
      <c r="L40" s="31">
        <v>466</v>
      </c>
      <c r="M40" s="32">
        <v>460</v>
      </c>
      <c r="N40" s="30">
        <v>461</v>
      </c>
      <c r="O40" s="31">
        <v>469</v>
      </c>
      <c r="P40" s="31">
        <v>468</v>
      </c>
      <c r="Q40" s="31">
        <v>466</v>
      </c>
      <c r="R40" s="31">
        <v>491</v>
      </c>
      <c r="S40" s="31">
        <v>470</v>
      </c>
      <c r="T40" s="31">
        <v>445</v>
      </c>
      <c r="U40" s="31">
        <v>455</v>
      </c>
      <c r="V40" s="31">
        <v>440</v>
      </c>
      <c r="W40" s="32">
        <v>447</v>
      </c>
      <c r="X40" s="30">
        <v>452</v>
      </c>
      <c r="Y40" s="31">
        <v>425</v>
      </c>
      <c r="Z40" s="31">
        <v>428</v>
      </c>
      <c r="AA40" s="31">
        <v>492</v>
      </c>
      <c r="AB40" s="31">
        <v>512</v>
      </c>
      <c r="AC40" s="31">
        <v>483</v>
      </c>
      <c r="AD40" s="31">
        <v>463</v>
      </c>
      <c r="AE40" s="31">
        <v>544</v>
      </c>
      <c r="AF40" s="31">
        <v>492</v>
      </c>
      <c r="AG40" s="32">
        <v>479</v>
      </c>
      <c r="AH40" s="30">
        <v>459</v>
      </c>
      <c r="AI40" s="31">
        <v>492</v>
      </c>
      <c r="AJ40" s="31">
        <v>525</v>
      </c>
      <c r="AK40" s="31">
        <v>501</v>
      </c>
      <c r="AL40" s="31">
        <v>496</v>
      </c>
      <c r="AM40" s="31">
        <v>523</v>
      </c>
      <c r="AN40" s="31">
        <v>513</v>
      </c>
      <c r="AO40" s="31">
        <v>523</v>
      </c>
      <c r="AP40" s="31">
        <v>508</v>
      </c>
      <c r="AQ40" s="32">
        <v>533</v>
      </c>
      <c r="AR40" s="30">
        <v>528</v>
      </c>
      <c r="AS40" s="31">
        <v>515</v>
      </c>
      <c r="AT40" s="31">
        <v>550</v>
      </c>
      <c r="AU40" s="31">
        <v>506</v>
      </c>
      <c r="AV40" s="31">
        <v>526</v>
      </c>
      <c r="AW40" s="31">
        <v>546</v>
      </c>
      <c r="AX40" s="31">
        <v>549</v>
      </c>
      <c r="AY40" s="31">
        <v>577</v>
      </c>
      <c r="AZ40" s="31">
        <v>558</v>
      </c>
      <c r="BA40" s="32">
        <v>580</v>
      </c>
      <c r="BB40" s="30">
        <v>521</v>
      </c>
      <c r="BC40" s="31">
        <v>505</v>
      </c>
      <c r="BD40" s="31">
        <v>560</v>
      </c>
      <c r="BE40" s="67">
        <v>548</v>
      </c>
      <c r="BF40" s="67">
        <v>590</v>
      </c>
      <c r="BG40" s="67">
        <v>600</v>
      </c>
      <c r="BH40" s="88">
        <v>605</v>
      </c>
      <c r="BI40" s="88">
        <v>631</v>
      </c>
      <c r="BJ40" s="88">
        <v>550</v>
      </c>
      <c r="BK40" s="89">
        <v>562</v>
      </c>
      <c r="BL40" s="87">
        <v>662</v>
      </c>
      <c r="BM40" s="88">
        <v>733</v>
      </c>
      <c r="BN40" s="88">
        <v>725</v>
      </c>
      <c r="BO40" s="5">
        <v>677</v>
      </c>
      <c r="BP40" s="5">
        <v>665</v>
      </c>
      <c r="BQ40" s="89">
        <v>647</v>
      </c>
    </row>
    <row r="41" spans="1:69" x14ac:dyDescent="0.2">
      <c r="A41" s="20" t="s">
        <v>73</v>
      </c>
      <c r="B41" s="21" t="s">
        <v>74</v>
      </c>
      <c r="C41" s="25" t="s">
        <v>2</v>
      </c>
      <c r="D41" s="30">
        <v>720</v>
      </c>
      <c r="E41" s="31">
        <v>781</v>
      </c>
      <c r="F41" s="31">
        <v>749</v>
      </c>
      <c r="G41" s="31">
        <v>731</v>
      </c>
      <c r="H41" s="31">
        <v>801</v>
      </c>
      <c r="I41" s="31">
        <v>791</v>
      </c>
      <c r="J41" s="31">
        <v>779</v>
      </c>
      <c r="K41" s="31">
        <v>772</v>
      </c>
      <c r="L41" s="31">
        <v>830</v>
      </c>
      <c r="M41" s="32">
        <v>816</v>
      </c>
      <c r="N41" s="30">
        <v>799</v>
      </c>
      <c r="O41" s="31">
        <v>801</v>
      </c>
      <c r="P41" s="31">
        <v>821</v>
      </c>
      <c r="Q41" s="31">
        <v>771</v>
      </c>
      <c r="R41" s="31">
        <v>810</v>
      </c>
      <c r="S41" s="31">
        <v>806</v>
      </c>
      <c r="T41" s="31">
        <v>733</v>
      </c>
      <c r="U41" s="31">
        <v>788</v>
      </c>
      <c r="V41" s="31">
        <v>709</v>
      </c>
      <c r="W41" s="32">
        <v>798</v>
      </c>
      <c r="X41" s="30">
        <v>780</v>
      </c>
      <c r="Y41" s="31">
        <v>798</v>
      </c>
      <c r="Z41" s="31">
        <v>895</v>
      </c>
      <c r="AA41" s="31">
        <v>804</v>
      </c>
      <c r="AB41" s="31">
        <v>819</v>
      </c>
      <c r="AC41" s="31">
        <v>907</v>
      </c>
      <c r="AD41" s="31">
        <v>822</v>
      </c>
      <c r="AE41" s="31">
        <v>946</v>
      </c>
      <c r="AF41" s="31">
        <v>889</v>
      </c>
      <c r="AG41" s="32">
        <v>927</v>
      </c>
      <c r="AH41" s="30">
        <v>977</v>
      </c>
      <c r="AI41" s="31">
        <v>1042</v>
      </c>
      <c r="AJ41" s="31">
        <v>1021</v>
      </c>
      <c r="AK41" s="31">
        <v>1030</v>
      </c>
      <c r="AL41" s="31">
        <v>1114</v>
      </c>
      <c r="AM41" s="31">
        <v>1133</v>
      </c>
      <c r="AN41" s="31">
        <v>1134</v>
      </c>
      <c r="AO41" s="31">
        <v>1128</v>
      </c>
      <c r="AP41" s="31">
        <v>1209</v>
      </c>
      <c r="AQ41" s="32">
        <v>1145</v>
      </c>
      <c r="AR41" s="30">
        <v>1227</v>
      </c>
      <c r="AS41" s="31">
        <v>1227</v>
      </c>
      <c r="AT41" s="31">
        <v>1304</v>
      </c>
      <c r="AU41" s="31">
        <v>1327</v>
      </c>
      <c r="AV41" s="31">
        <v>1362</v>
      </c>
      <c r="AW41" s="31">
        <v>1287</v>
      </c>
      <c r="AX41" s="31">
        <v>1329</v>
      </c>
      <c r="AY41" s="31">
        <v>1422</v>
      </c>
      <c r="AZ41" s="31">
        <v>1413</v>
      </c>
      <c r="BA41" s="32">
        <v>1399</v>
      </c>
      <c r="BB41" s="30">
        <v>1445</v>
      </c>
      <c r="BC41" s="31">
        <v>1418</v>
      </c>
      <c r="BD41" s="31">
        <v>1593</v>
      </c>
      <c r="BE41" s="67">
        <v>1564</v>
      </c>
      <c r="BF41" s="67">
        <v>1515</v>
      </c>
      <c r="BG41" s="67">
        <v>1657</v>
      </c>
      <c r="BH41" s="88">
        <v>1733</v>
      </c>
      <c r="BI41" s="88">
        <v>1627</v>
      </c>
      <c r="BJ41" s="88">
        <v>1735</v>
      </c>
      <c r="BK41" s="89">
        <v>1836</v>
      </c>
      <c r="BL41" s="87">
        <v>1924</v>
      </c>
      <c r="BM41" s="88">
        <v>2136</v>
      </c>
      <c r="BN41" s="88">
        <v>2093</v>
      </c>
      <c r="BO41" s="5">
        <v>2003</v>
      </c>
      <c r="BP41" s="5">
        <v>2162</v>
      </c>
      <c r="BQ41" s="89">
        <v>2136</v>
      </c>
    </row>
    <row r="42" spans="1:69" x14ac:dyDescent="0.2">
      <c r="A42" s="20" t="s">
        <v>75</v>
      </c>
      <c r="B42" s="21" t="s">
        <v>76</v>
      </c>
      <c r="C42" s="25"/>
      <c r="D42" s="30">
        <v>233</v>
      </c>
      <c r="E42" s="31">
        <v>250</v>
      </c>
      <c r="F42" s="31">
        <v>265</v>
      </c>
      <c r="G42" s="31">
        <v>237</v>
      </c>
      <c r="H42" s="31">
        <v>232</v>
      </c>
      <c r="I42" s="31">
        <v>258</v>
      </c>
      <c r="J42" s="31">
        <v>232</v>
      </c>
      <c r="K42" s="31">
        <v>226</v>
      </c>
      <c r="L42" s="31">
        <v>248</v>
      </c>
      <c r="M42" s="32">
        <v>229</v>
      </c>
      <c r="N42" s="30">
        <v>249</v>
      </c>
      <c r="O42" s="31">
        <v>266</v>
      </c>
      <c r="P42" s="31">
        <v>241</v>
      </c>
      <c r="Q42" s="31">
        <v>245</v>
      </c>
      <c r="R42" s="31">
        <v>253</v>
      </c>
      <c r="S42" s="31">
        <v>257</v>
      </c>
      <c r="T42" s="31">
        <v>182</v>
      </c>
      <c r="U42" s="31">
        <v>203</v>
      </c>
      <c r="V42" s="31">
        <v>216</v>
      </c>
      <c r="W42" s="32">
        <v>233</v>
      </c>
      <c r="X42" s="30">
        <v>205</v>
      </c>
      <c r="Y42" s="31">
        <v>216</v>
      </c>
      <c r="Z42" s="31">
        <v>251</v>
      </c>
      <c r="AA42" s="31">
        <v>248</v>
      </c>
      <c r="AB42" s="31">
        <v>180</v>
      </c>
      <c r="AC42" s="31">
        <v>232</v>
      </c>
      <c r="AD42" s="31">
        <v>219</v>
      </c>
      <c r="AE42" s="31">
        <v>227</v>
      </c>
      <c r="AF42" s="31">
        <v>214</v>
      </c>
      <c r="AG42" s="32">
        <v>205</v>
      </c>
      <c r="AH42" s="30">
        <v>189</v>
      </c>
      <c r="AI42" s="31">
        <v>200</v>
      </c>
      <c r="AJ42" s="31">
        <v>211</v>
      </c>
      <c r="AK42" s="31">
        <v>240</v>
      </c>
      <c r="AL42" s="31">
        <v>234</v>
      </c>
      <c r="AM42" s="31">
        <v>230</v>
      </c>
      <c r="AN42" s="31">
        <v>229</v>
      </c>
      <c r="AO42" s="31">
        <v>213</v>
      </c>
      <c r="AP42" s="31">
        <v>216</v>
      </c>
      <c r="AQ42" s="32">
        <v>226</v>
      </c>
      <c r="AR42" s="30">
        <v>236</v>
      </c>
      <c r="AS42" s="31">
        <v>220</v>
      </c>
      <c r="AT42" s="31">
        <v>210</v>
      </c>
      <c r="AU42" s="31">
        <v>220</v>
      </c>
      <c r="AV42" s="31">
        <v>204</v>
      </c>
      <c r="AW42" s="31">
        <v>220</v>
      </c>
      <c r="AX42" s="31">
        <v>223</v>
      </c>
      <c r="AY42" s="31">
        <v>217</v>
      </c>
      <c r="AZ42" s="31">
        <v>239</v>
      </c>
      <c r="BA42" s="32">
        <v>226</v>
      </c>
      <c r="BB42" s="30">
        <v>246</v>
      </c>
      <c r="BC42" s="31">
        <v>234</v>
      </c>
      <c r="BD42" s="31">
        <v>261</v>
      </c>
      <c r="BE42" s="67">
        <v>252</v>
      </c>
      <c r="BF42" s="67">
        <v>281</v>
      </c>
      <c r="BG42" s="67">
        <v>280</v>
      </c>
      <c r="BH42" s="88">
        <v>268</v>
      </c>
      <c r="BI42" s="88">
        <v>292</v>
      </c>
      <c r="BJ42" s="88">
        <v>264</v>
      </c>
      <c r="BK42" s="89">
        <v>268</v>
      </c>
      <c r="BL42" s="87">
        <v>332</v>
      </c>
      <c r="BM42" s="88">
        <v>383</v>
      </c>
      <c r="BN42" s="88">
        <v>312</v>
      </c>
      <c r="BO42" s="5">
        <v>326</v>
      </c>
      <c r="BP42" s="5">
        <v>320</v>
      </c>
      <c r="BQ42" s="89">
        <v>328</v>
      </c>
    </row>
    <row r="43" spans="1:69" x14ac:dyDescent="0.2">
      <c r="A43" s="20" t="s">
        <v>77</v>
      </c>
      <c r="B43" s="21" t="s">
        <v>78</v>
      </c>
      <c r="C43" s="25" t="s">
        <v>2</v>
      </c>
      <c r="D43" s="30">
        <v>1309</v>
      </c>
      <c r="E43" s="31">
        <v>1348</v>
      </c>
      <c r="F43" s="31">
        <v>1405</v>
      </c>
      <c r="G43" s="31">
        <v>1452</v>
      </c>
      <c r="H43" s="31">
        <v>1340</v>
      </c>
      <c r="I43" s="31">
        <v>1363</v>
      </c>
      <c r="J43" s="31">
        <v>1384</v>
      </c>
      <c r="K43" s="31">
        <v>1483</v>
      </c>
      <c r="L43" s="31">
        <v>1484</v>
      </c>
      <c r="M43" s="32">
        <v>1501</v>
      </c>
      <c r="N43" s="30">
        <v>1442</v>
      </c>
      <c r="O43" s="31">
        <v>1543</v>
      </c>
      <c r="P43" s="31">
        <v>1464</v>
      </c>
      <c r="Q43" s="31">
        <v>1509</v>
      </c>
      <c r="R43" s="31">
        <v>1555</v>
      </c>
      <c r="S43" s="31">
        <v>1513</v>
      </c>
      <c r="T43" s="31">
        <v>1379</v>
      </c>
      <c r="U43" s="31">
        <v>1393</v>
      </c>
      <c r="V43" s="31">
        <v>1538</v>
      </c>
      <c r="W43" s="32">
        <v>1449</v>
      </c>
      <c r="X43" s="30">
        <v>1576</v>
      </c>
      <c r="Y43" s="31">
        <v>1553</v>
      </c>
      <c r="Z43" s="31">
        <v>1532</v>
      </c>
      <c r="AA43" s="31">
        <v>1492</v>
      </c>
      <c r="AB43" s="31">
        <v>1578</v>
      </c>
      <c r="AC43" s="31">
        <v>1568</v>
      </c>
      <c r="AD43" s="31">
        <v>1531</v>
      </c>
      <c r="AE43" s="31">
        <v>1675</v>
      </c>
      <c r="AF43" s="31">
        <v>1653</v>
      </c>
      <c r="AG43" s="32">
        <v>1664</v>
      </c>
      <c r="AH43" s="30">
        <v>1587</v>
      </c>
      <c r="AI43" s="31">
        <v>1586</v>
      </c>
      <c r="AJ43" s="31">
        <v>1682</v>
      </c>
      <c r="AK43" s="31">
        <v>1715</v>
      </c>
      <c r="AL43" s="31">
        <v>1659</v>
      </c>
      <c r="AM43" s="31">
        <v>1699</v>
      </c>
      <c r="AN43" s="31">
        <v>1770</v>
      </c>
      <c r="AO43" s="31">
        <v>1681</v>
      </c>
      <c r="AP43" s="31">
        <v>1710</v>
      </c>
      <c r="AQ43" s="32">
        <v>1725</v>
      </c>
      <c r="AR43" s="30">
        <v>1693</v>
      </c>
      <c r="AS43" s="31">
        <v>1782</v>
      </c>
      <c r="AT43" s="31">
        <v>1727</v>
      </c>
      <c r="AU43" s="31">
        <v>1792</v>
      </c>
      <c r="AV43" s="31">
        <v>1756</v>
      </c>
      <c r="AW43" s="31">
        <v>1803</v>
      </c>
      <c r="AX43" s="31">
        <v>1724</v>
      </c>
      <c r="AY43" s="31">
        <v>1796</v>
      </c>
      <c r="AZ43" s="31">
        <v>1835</v>
      </c>
      <c r="BA43" s="32">
        <v>1852</v>
      </c>
      <c r="BB43" s="30">
        <v>1828</v>
      </c>
      <c r="BC43" s="31">
        <v>1800</v>
      </c>
      <c r="BD43" s="31">
        <v>1868</v>
      </c>
      <c r="BE43" s="67">
        <v>1832</v>
      </c>
      <c r="BF43" s="67">
        <v>1877</v>
      </c>
      <c r="BG43" s="67">
        <v>1991</v>
      </c>
      <c r="BH43" s="88">
        <v>2039</v>
      </c>
      <c r="BI43" s="88">
        <v>2102</v>
      </c>
      <c r="BJ43" s="88">
        <v>2016</v>
      </c>
      <c r="BK43" s="89">
        <v>2125</v>
      </c>
      <c r="BL43" s="87">
        <v>2518</v>
      </c>
      <c r="BM43" s="88">
        <v>2667</v>
      </c>
      <c r="BN43" s="88">
        <v>2378</v>
      </c>
      <c r="BO43" s="5">
        <v>2274</v>
      </c>
      <c r="BP43" s="5">
        <v>2289</v>
      </c>
      <c r="BQ43" s="89">
        <v>2206</v>
      </c>
    </row>
    <row r="44" spans="1:69" x14ac:dyDescent="0.2">
      <c r="A44" s="22" t="s">
        <v>79</v>
      </c>
      <c r="B44" s="23" t="s">
        <v>80</v>
      </c>
      <c r="C44" s="26" t="s">
        <v>2</v>
      </c>
      <c r="D44" s="33">
        <v>25757</v>
      </c>
      <c r="E44" s="34">
        <v>27078</v>
      </c>
      <c r="F44" s="34">
        <v>27201</v>
      </c>
      <c r="G44" s="34">
        <v>28110</v>
      </c>
      <c r="H44" s="34">
        <v>27279</v>
      </c>
      <c r="I44" s="34">
        <v>28126</v>
      </c>
      <c r="J44" s="34">
        <v>28791</v>
      </c>
      <c r="K44" s="34">
        <v>30066</v>
      </c>
      <c r="L44" s="34">
        <v>30594</v>
      </c>
      <c r="M44" s="35">
        <v>29966</v>
      </c>
      <c r="N44" s="33">
        <v>29755</v>
      </c>
      <c r="O44" s="34">
        <v>30431</v>
      </c>
      <c r="P44" s="34">
        <v>30374</v>
      </c>
      <c r="Q44" s="34">
        <v>29927</v>
      </c>
      <c r="R44" s="34">
        <v>30340</v>
      </c>
      <c r="S44" s="34">
        <v>30173</v>
      </c>
      <c r="T44" s="34">
        <v>29139</v>
      </c>
      <c r="U44" s="34">
        <v>30433</v>
      </c>
      <c r="V44" s="34">
        <v>30164</v>
      </c>
      <c r="W44" s="35">
        <v>31326</v>
      </c>
      <c r="X44" s="33">
        <v>31841</v>
      </c>
      <c r="Y44" s="34">
        <v>31738</v>
      </c>
      <c r="Z44" s="34">
        <v>32558</v>
      </c>
      <c r="AA44" s="34">
        <v>33260</v>
      </c>
      <c r="AB44" s="34">
        <v>34047</v>
      </c>
      <c r="AC44" s="34">
        <v>34005</v>
      </c>
      <c r="AD44" s="34">
        <v>34364</v>
      </c>
      <c r="AE44" s="34">
        <v>36004</v>
      </c>
      <c r="AF44" s="34">
        <v>36053</v>
      </c>
      <c r="AG44" s="35">
        <v>36333</v>
      </c>
      <c r="AH44" s="33">
        <v>36709</v>
      </c>
      <c r="AI44" s="34">
        <v>37240</v>
      </c>
      <c r="AJ44" s="34">
        <v>39382</v>
      </c>
      <c r="AK44" s="34">
        <v>39611</v>
      </c>
      <c r="AL44" s="34">
        <v>39957</v>
      </c>
      <c r="AM44" s="34">
        <v>41152</v>
      </c>
      <c r="AN44" s="34">
        <v>42632</v>
      </c>
      <c r="AO44" s="34">
        <v>41564</v>
      </c>
      <c r="AP44" s="34">
        <v>43145</v>
      </c>
      <c r="AQ44" s="35">
        <v>43743</v>
      </c>
      <c r="AR44" s="33">
        <v>43923</v>
      </c>
      <c r="AS44" s="34">
        <v>44900</v>
      </c>
      <c r="AT44" s="34">
        <v>44731</v>
      </c>
      <c r="AU44" s="34">
        <v>46025</v>
      </c>
      <c r="AV44" s="34">
        <v>45609</v>
      </c>
      <c r="AW44" s="34">
        <v>45282</v>
      </c>
      <c r="AX44" s="34">
        <v>46161</v>
      </c>
      <c r="AY44" s="34">
        <v>47947</v>
      </c>
      <c r="AZ44" s="34">
        <v>48116</v>
      </c>
      <c r="BA44" s="35">
        <v>47672</v>
      </c>
      <c r="BB44" s="33">
        <v>48786</v>
      </c>
      <c r="BC44" s="34">
        <v>49231</v>
      </c>
      <c r="BD44" s="34">
        <v>51109</v>
      </c>
      <c r="BE44" s="68">
        <v>50711</v>
      </c>
      <c r="BF44" s="68">
        <v>52848</v>
      </c>
      <c r="BG44" s="68">
        <v>54661</v>
      </c>
      <c r="BH44" s="91">
        <v>56075</v>
      </c>
      <c r="BI44" s="91">
        <v>56372</v>
      </c>
      <c r="BJ44" s="91">
        <v>57205</v>
      </c>
      <c r="BK44" s="92">
        <v>58520</v>
      </c>
      <c r="BL44" s="90">
        <v>63978</v>
      </c>
      <c r="BM44" s="91">
        <v>70701</v>
      </c>
      <c r="BN44" s="91">
        <v>67930</v>
      </c>
      <c r="BO44" s="102">
        <v>66023</v>
      </c>
      <c r="BP44" s="102">
        <v>66622</v>
      </c>
      <c r="BQ44" s="92">
        <v>65797</v>
      </c>
    </row>
  </sheetData>
  <pageMargins left="0.5" right="0.5" top="0.5" bottom="0.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44"/>
  <sheetViews>
    <sheetView workbookViewId="0">
      <pane xSplit="2" ySplit="4" topLeftCell="C5" activePane="bottomRight" state="frozenSplit"/>
      <selection pane="topRight"/>
      <selection pane="bottomLeft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1.33203125" style="4" customWidth="1"/>
    <col min="23" max="23" width="11.33203125" style="5" customWidth="1"/>
    <col min="24" max="62" width="11.33203125" style="4" customWidth="1"/>
    <col min="63" max="69" width="11.33203125" style="6" customWidth="1"/>
    <col min="70" max="16384" width="9.33203125" style="6"/>
  </cols>
  <sheetData>
    <row r="1" spans="1:69" s="9" customFormat="1" ht="12" x14ac:dyDescent="0.2">
      <c r="A1" s="8" t="s">
        <v>474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9" s="7" customFormat="1" ht="57.95" customHeight="1" x14ac:dyDescent="0.2">
      <c r="A4" s="18" t="s">
        <v>81</v>
      </c>
      <c r="B4" s="19" t="s">
        <v>82</v>
      </c>
      <c r="C4" s="24" t="s">
        <v>361</v>
      </c>
      <c r="D4" s="97" t="s">
        <v>475</v>
      </c>
      <c r="E4" s="72" t="s">
        <v>476</v>
      </c>
      <c r="F4" s="72" t="s">
        <v>477</v>
      </c>
      <c r="G4" s="72" t="s">
        <v>478</v>
      </c>
      <c r="H4" s="72" t="s">
        <v>479</v>
      </c>
      <c r="I4" s="72" t="s">
        <v>480</v>
      </c>
      <c r="J4" s="72" t="s">
        <v>481</v>
      </c>
      <c r="K4" s="72" t="s">
        <v>482</v>
      </c>
      <c r="L4" s="72" t="s">
        <v>483</v>
      </c>
      <c r="M4" s="66" t="s">
        <v>484</v>
      </c>
      <c r="N4" s="97" t="s">
        <v>485</v>
      </c>
      <c r="O4" s="72" t="s">
        <v>486</v>
      </c>
      <c r="P4" s="72" t="s">
        <v>487</v>
      </c>
      <c r="Q4" s="72" t="s">
        <v>488</v>
      </c>
      <c r="R4" s="72" t="s">
        <v>489</v>
      </c>
      <c r="S4" s="72" t="s">
        <v>490</v>
      </c>
      <c r="T4" s="72" t="s">
        <v>491</v>
      </c>
      <c r="U4" s="72" t="s">
        <v>492</v>
      </c>
      <c r="V4" s="72" t="s">
        <v>493</v>
      </c>
      <c r="W4" s="66" t="s">
        <v>494</v>
      </c>
      <c r="X4" s="97" t="s">
        <v>495</v>
      </c>
      <c r="Y4" s="72" t="s">
        <v>496</v>
      </c>
      <c r="Z4" s="72" t="s">
        <v>497</v>
      </c>
      <c r="AA4" s="72" t="s">
        <v>498</v>
      </c>
      <c r="AB4" s="72" t="s">
        <v>499</v>
      </c>
      <c r="AC4" s="72" t="s">
        <v>500</v>
      </c>
      <c r="AD4" s="72" t="s">
        <v>501</v>
      </c>
      <c r="AE4" s="72" t="s">
        <v>502</v>
      </c>
      <c r="AF4" s="72" t="s">
        <v>503</v>
      </c>
      <c r="AG4" s="66" t="s">
        <v>504</v>
      </c>
      <c r="AH4" s="97" t="s">
        <v>505</v>
      </c>
      <c r="AI4" s="72" t="s">
        <v>506</v>
      </c>
      <c r="AJ4" s="72" t="s">
        <v>507</v>
      </c>
      <c r="AK4" s="72" t="s">
        <v>508</v>
      </c>
      <c r="AL4" s="72" t="s">
        <v>509</v>
      </c>
      <c r="AM4" s="72" t="s">
        <v>510</v>
      </c>
      <c r="AN4" s="72" t="s">
        <v>511</v>
      </c>
      <c r="AO4" s="72" t="s">
        <v>512</v>
      </c>
      <c r="AP4" s="72" t="s">
        <v>513</v>
      </c>
      <c r="AQ4" s="66" t="s">
        <v>514</v>
      </c>
      <c r="AR4" s="27" t="s">
        <v>515</v>
      </c>
      <c r="AS4" s="28" t="s">
        <v>516</v>
      </c>
      <c r="AT4" s="28" t="s">
        <v>517</v>
      </c>
      <c r="AU4" s="28" t="s">
        <v>518</v>
      </c>
      <c r="AV4" s="28" t="s">
        <v>519</v>
      </c>
      <c r="AW4" s="28" t="s">
        <v>520</v>
      </c>
      <c r="AX4" s="28" t="s">
        <v>521</v>
      </c>
      <c r="AY4" s="28" t="s">
        <v>522</v>
      </c>
      <c r="AZ4" s="28" t="s">
        <v>523</v>
      </c>
      <c r="BA4" s="29" t="s">
        <v>524</v>
      </c>
      <c r="BB4" s="27" t="s">
        <v>525</v>
      </c>
      <c r="BC4" s="28" t="s">
        <v>526</v>
      </c>
      <c r="BD4" s="28" t="s">
        <v>527</v>
      </c>
      <c r="BE4" s="37" t="s">
        <v>528</v>
      </c>
      <c r="BF4" s="37" t="s">
        <v>529</v>
      </c>
      <c r="BG4" s="37" t="s">
        <v>530</v>
      </c>
      <c r="BH4" s="72" t="s">
        <v>531</v>
      </c>
      <c r="BI4" s="72" t="s">
        <v>532</v>
      </c>
      <c r="BJ4" s="72" t="s">
        <v>533</v>
      </c>
      <c r="BK4" s="66" t="s">
        <v>534</v>
      </c>
      <c r="BL4" s="97" t="s">
        <v>535</v>
      </c>
      <c r="BM4" s="72" t="s">
        <v>536</v>
      </c>
      <c r="BN4" s="72" t="s">
        <v>537</v>
      </c>
      <c r="BO4" s="117" t="s">
        <v>549</v>
      </c>
      <c r="BP4" s="117" t="s">
        <v>556</v>
      </c>
      <c r="BQ4" s="66" t="s">
        <v>564</v>
      </c>
    </row>
    <row r="5" spans="1:69" x14ac:dyDescent="0.2">
      <c r="A5" s="20" t="s">
        <v>0</v>
      </c>
      <c r="B5" s="21" t="s">
        <v>1</v>
      </c>
      <c r="C5" s="25" t="s">
        <v>2</v>
      </c>
      <c r="D5" s="87">
        <v>162</v>
      </c>
      <c r="E5" s="88">
        <v>173</v>
      </c>
      <c r="F5" s="88">
        <v>229</v>
      </c>
      <c r="G5" s="88">
        <v>142</v>
      </c>
      <c r="H5" s="88">
        <v>169</v>
      </c>
      <c r="I5" s="88">
        <v>105</v>
      </c>
      <c r="J5" s="88">
        <v>115</v>
      </c>
      <c r="K5" s="88">
        <v>133</v>
      </c>
      <c r="L5" s="88">
        <v>147</v>
      </c>
      <c r="M5" s="89">
        <v>147</v>
      </c>
      <c r="N5" s="87">
        <v>149</v>
      </c>
      <c r="O5" s="88">
        <v>180</v>
      </c>
      <c r="P5" s="88">
        <v>157</v>
      </c>
      <c r="Q5" s="88">
        <v>164</v>
      </c>
      <c r="R5" s="88">
        <v>172</v>
      </c>
      <c r="S5" s="88">
        <v>186</v>
      </c>
      <c r="T5" s="88">
        <v>206</v>
      </c>
      <c r="U5" s="88">
        <v>241</v>
      </c>
      <c r="V5" s="88">
        <v>241</v>
      </c>
      <c r="W5" s="89">
        <v>204</v>
      </c>
      <c r="X5" s="87">
        <v>222</v>
      </c>
      <c r="Y5" s="88">
        <v>230</v>
      </c>
      <c r="Z5" s="88">
        <v>186</v>
      </c>
      <c r="AA5" s="88">
        <v>216</v>
      </c>
      <c r="AB5" s="88">
        <v>209</v>
      </c>
      <c r="AC5" s="88">
        <v>171</v>
      </c>
      <c r="AD5" s="88">
        <v>147</v>
      </c>
      <c r="AE5" s="88">
        <v>165</v>
      </c>
      <c r="AF5" s="88">
        <v>157</v>
      </c>
      <c r="AG5" s="89">
        <v>145</v>
      </c>
      <c r="AH5" s="87">
        <v>169</v>
      </c>
      <c r="AI5" s="88">
        <v>200</v>
      </c>
      <c r="AJ5" s="88">
        <v>216</v>
      </c>
      <c r="AK5" s="88">
        <v>229</v>
      </c>
      <c r="AL5" s="88">
        <v>205</v>
      </c>
      <c r="AM5" s="88">
        <v>189</v>
      </c>
      <c r="AN5" s="88">
        <v>189</v>
      </c>
      <c r="AO5" s="88">
        <v>188</v>
      </c>
      <c r="AP5" s="88">
        <v>206</v>
      </c>
      <c r="AQ5" s="89">
        <v>237</v>
      </c>
      <c r="AR5" s="87">
        <v>219</v>
      </c>
      <c r="AS5" s="88">
        <v>205</v>
      </c>
      <c r="AT5" s="88">
        <v>250</v>
      </c>
      <c r="AU5" s="88">
        <v>214</v>
      </c>
      <c r="AV5" s="88">
        <v>301</v>
      </c>
      <c r="AW5" s="88">
        <v>314</v>
      </c>
      <c r="AX5" s="88">
        <v>293</v>
      </c>
      <c r="AY5" s="88">
        <v>307</v>
      </c>
      <c r="AZ5" s="88">
        <v>318</v>
      </c>
      <c r="BA5" s="89">
        <v>303</v>
      </c>
      <c r="BB5" s="30">
        <v>363</v>
      </c>
      <c r="BC5" s="31">
        <v>292</v>
      </c>
      <c r="BD5" s="31">
        <v>260</v>
      </c>
      <c r="BE5" s="67">
        <v>288</v>
      </c>
      <c r="BF5" s="67">
        <v>240</v>
      </c>
      <c r="BG5" s="67">
        <v>214</v>
      </c>
      <c r="BH5" s="88">
        <v>252</v>
      </c>
      <c r="BI5" s="88">
        <v>296</v>
      </c>
      <c r="BJ5" s="88">
        <v>273</v>
      </c>
      <c r="BK5" s="89">
        <v>246</v>
      </c>
      <c r="BL5" s="87">
        <v>197</v>
      </c>
      <c r="BM5" s="88">
        <v>195</v>
      </c>
      <c r="BN5" s="88">
        <v>186</v>
      </c>
      <c r="BO5" s="5">
        <f>Births!BO5-Deaths!BO5</f>
        <v>248</v>
      </c>
      <c r="BP5" s="5">
        <f>Births!BP5-Deaths!BP5</f>
        <v>243</v>
      </c>
      <c r="BQ5" s="89">
        <f>Births!BQ5-Deaths!BQ5</f>
        <v>226</v>
      </c>
    </row>
    <row r="6" spans="1:69" x14ac:dyDescent="0.2">
      <c r="A6" s="20" t="s">
        <v>3</v>
      </c>
      <c r="B6" s="21" t="s">
        <v>4</v>
      </c>
      <c r="C6" s="25" t="s">
        <v>2</v>
      </c>
      <c r="D6" s="87">
        <v>145</v>
      </c>
      <c r="E6" s="88">
        <v>119</v>
      </c>
      <c r="F6" s="88">
        <v>117</v>
      </c>
      <c r="G6" s="88">
        <v>81</v>
      </c>
      <c r="H6" s="88">
        <v>51</v>
      </c>
      <c r="I6" s="88">
        <v>60</v>
      </c>
      <c r="J6" s="88">
        <v>60</v>
      </c>
      <c r="K6" s="88">
        <v>64</v>
      </c>
      <c r="L6" s="88">
        <v>27</v>
      </c>
      <c r="M6" s="89">
        <v>55</v>
      </c>
      <c r="N6" s="87">
        <v>33</v>
      </c>
      <c r="O6" s="88">
        <v>66</v>
      </c>
      <c r="P6" s="88">
        <v>28</v>
      </c>
      <c r="Q6" s="88">
        <v>66</v>
      </c>
      <c r="R6" s="88">
        <v>53</v>
      </c>
      <c r="S6" s="88">
        <v>51</v>
      </c>
      <c r="T6" s="88">
        <v>52</v>
      </c>
      <c r="U6" s="88">
        <v>46</v>
      </c>
      <c r="V6" s="88">
        <v>79</v>
      </c>
      <c r="W6" s="89">
        <v>88</v>
      </c>
      <c r="X6" s="87">
        <v>92</v>
      </c>
      <c r="Y6" s="88">
        <v>136</v>
      </c>
      <c r="Z6" s="88">
        <v>74</v>
      </c>
      <c r="AA6" s="88">
        <v>93</v>
      </c>
      <c r="AB6" s="88">
        <v>108</v>
      </c>
      <c r="AC6" s="88">
        <v>66</v>
      </c>
      <c r="AD6" s="88">
        <v>84</v>
      </c>
      <c r="AE6" s="88">
        <v>59</v>
      </c>
      <c r="AF6" s="88">
        <v>74</v>
      </c>
      <c r="AG6" s="89">
        <v>95</v>
      </c>
      <c r="AH6" s="87">
        <v>45</v>
      </c>
      <c r="AI6" s="88">
        <v>59</v>
      </c>
      <c r="AJ6" s="88">
        <v>72</v>
      </c>
      <c r="AK6" s="88">
        <v>15</v>
      </c>
      <c r="AL6" s="88">
        <v>58</v>
      </c>
      <c r="AM6" s="88">
        <v>29</v>
      </c>
      <c r="AN6" s="88">
        <v>37</v>
      </c>
      <c r="AO6" s="88">
        <v>46</v>
      </c>
      <c r="AP6" s="88">
        <v>51</v>
      </c>
      <c r="AQ6" s="89">
        <v>33</v>
      </c>
      <c r="AR6" s="87">
        <v>45</v>
      </c>
      <c r="AS6" s="88">
        <v>37</v>
      </c>
      <c r="AT6" s="88">
        <v>38</v>
      </c>
      <c r="AU6" s="88">
        <v>85</v>
      </c>
      <c r="AV6" s="88">
        <v>35</v>
      </c>
      <c r="AW6" s="88">
        <v>46</v>
      </c>
      <c r="AX6" s="88">
        <v>28</v>
      </c>
      <c r="AY6" s="88">
        <v>40</v>
      </c>
      <c r="AZ6" s="88">
        <v>0</v>
      </c>
      <c r="BA6" s="89">
        <v>-2</v>
      </c>
      <c r="BB6" s="30">
        <v>46</v>
      </c>
      <c r="BC6" s="31">
        <v>-7</v>
      </c>
      <c r="BD6" s="31">
        <v>-16</v>
      </c>
      <c r="BE6" s="67">
        <v>15</v>
      </c>
      <c r="BF6" s="67">
        <v>1</v>
      </c>
      <c r="BG6" s="67">
        <v>-41</v>
      </c>
      <c r="BH6" s="88">
        <v>-29</v>
      </c>
      <c r="BI6" s="88">
        <v>-33</v>
      </c>
      <c r="BJ6" s="88">
        <v>-40</v>
      </c>
      <c r="BK6" s="89">
        <v>-32</v>
      </c>
      <c r="BL6" s="87">
        <v>-101</v>
      </c>
      <c r="BM6" s="88">
        <v>-78</v>
      </c>
      <c r="BN6" s="88">
        <v>-120</v>
      </c>
      <c r="BO6" s="5">
        <f>Births!BO6-Deaths!BO6</f>
        <v>-91</v>
      </c>
      <c r="BP6" s="5">
        <f>Births!BP6-Deaths!BP6</f>
        <v>-161</v>
      </c>
      <c r="BQ6" s="89">
        <f>Births!BQ6-Deaths!BQ6</f>
        <v>-83</v>
      </c>
    </row>
    <row r="7" spans="1:69" x14ac:dyDescent="0.2">
      <c r="A7" s="20" t="s">
        <v>5</v>
      </c>
      <c r="B7" s="21" t="s">
        <v>6</v>
      </c>
      <c r="C7" s="25"/>
      <c r="D7" s="87">
        <v>1250</v>
      </c>
      <c r="E7" s="88">
        <v>1178</v>
      </c>
      <c r="F7" s="88">
        <v>1022</v>
      </c>
      <c r="G7" s="88">
        <v>932</v>
      </c>
      <c r="H7" s="88">
        <v>942</v>
      </c>
      <c r="I7" s="88">
        <v>756</v>
      </c>
      <c r="J7" s="88">
        <v>679</v>
      </c>
      <c r="K7" s="88">
        <v>632</v>
      </c>
      <c r="L7" s="88">
        <v>581</v>
      </c>
      <c r="M7" s="89">
        <v>658</v>
      </c>
      <c r="N7" s="87">
        <v>612</v>
      </c>
      <c r="O7" s="88">
        <v>665</v>
      </c>
      <c r="P7" s="88">
        <v>550</v>
      </c>
      <c r="Q7" s="88">
        <v>458</v>
      </c>
      <c r="R7" s="88">
        <v>635</v>
      </c>
      <c r="S7" s="88">
        <v>686</v>
      </c>
      <c r="T7" s="88">
        <v>881</v>
      </c>
      <c r="U7" s="88">
        <v>969</v>
      </c>
      <c r="V7" s="88">
        <v>1293</v>
      </c>
      <c r="W7" s="89">
        <v>1428</v>
      </c>
      <c r="X7" s="87">
        <v>1502</v>
      </c>
      <c r="Y7" s="88">
        <v>1728</v>
      </c>
      <c r="Z7" s="88">
        <v>1559</v>
      </c>
      <c r="AA7" s="88">
        <v>1518</v>
      </c>
      <c r="AB7" s="88">
        <v>1302</v>
      </c>
      <c r="AC7" s="88">
        <v>1271</v>
      </c>
      <c r="AD7" s="88">
        <v>1250</v>
      </c>
      <c r="AE7" s="88">
        <v>1170</v>
      </c>
      <c r="AF7" s="88">
        <v>1085</v>
      </c>
      <c r="AG7" s="89">
        <v>1140</v>
      </c>
      <c r="AH7" s="87">
        <v>1163</v>
      </c>
      <c r="AI7" s="88">
        <v>1180</v>
      </c>
      <c r="AJ7" s="88">
        <v>1177</v>
      </c>
      <c r="AK7" s="88">
        <v>1229</v>
      </c>
      <c r="AL7" s="88">
        <v>1114</v>
      </c>
      <c r="AM7" s="88">
        <v>1204</v>
      </c>
      <c r="AN7" s="88">
        <v>1111</v>
      </c>
      <c r="AO7" s="88">
        <v>1179</v>
      </c>
      <c r="AP7" s="88">
        <v>1175</v>
      </c>
      <c r="AQ7" s="89">
        <v>1299</v>
      </c>
      <c r="AR7" s="87">
        <v>1105</v>
      </c>
      <c r="AS7" s="88">
        <v>1209</v>
      </c>
      <c r="AT7" s="88">
        <v>1155</v>
      </c>
      <c r="AU7" s="88">
        <v>1145</v>
      </c>
      <c r="AV7" s="88">
        <v>1140</v>
      </c>
      <c r="AW7" s="88">
        <v>1155</v>
      </c>
      <c r="AX7" s="88">
        <v>1316</v>
      </c>
      <c r="AY7" s="88">
        <v>1233</v>
      </c>
      <c r="AZ7" s="88">
        <v>1306</v>
      </c>
      <c r="BA7" s="89">
        <v>1251</v>
      </c>
      <c r="BB7" s="30">
        <v>1334</v>
      </c>
      <c r="BC7" s="31">
        <v>1328</v>
      </c>
      <c r="BD7" s="31">
        <v>1251</v>
      </c>
      <c r="BE7" s="67">
        <v>1288</v>
      </c>
      <c r="BF7" s="67">
        <v>1310</v>
      </c>
      <c r="BG7" s="67">
        <v>1226</v>
      </c>
      <c r="BH7" s="88">
        <v>1283</v>
      </c>
      <c r="BI7" s="88">
        <v>1047</v>
      </c>
      <c r="BJ7" s="88">
        <v>1178</v>
      </c>
      <c r="BK7" s="89">
        <v>972</v>
      </c>
      <c r="BL7" s="87">
        <v>656</v>
      </c>
      <c r="BM7" s="88">
        <v>642</v>
      </c>
      <c r="BN7" s="88">
        <v>495</v>
      </c>
      <c r="BO7" s="5">
        <f>Births!BO7-Deaths!BO7</f>
        <v>804</v>
      </c>
      <c r="BP7" s="5">
        <f>Births!BP7-Deaths!BP7</f>
        <v>868</v>
      </c>
      <c r="BQ7" s="89">
        <f>Births!BQ7-Deaths!BQ7</f>
        <v>781</v>
      </c>
    </row>
    <row r="8" spans="1:69" x14ac:dyDescent="0.2">
      <c r="A8" s="20" t="s">
        <v>7</v>
      </c>
      <c r="B8" s="21" t="s">
        <v>8</v>
      </c>
      <c r="C8" s="25" t="s">
        <v>2</v>
      </c>
      <c r="D8" s="87">
        <v>416</v>
      </c>
      <c r="E8" s="88">
        <v>392</v>
      </c>
      <c r="F8" s="88">
        <v>292</v>
      </c>
      <c r="G8" s="88">
        <v>293</v>
      </c>
      <c r="H8" s="88">
        <v>262</v>
      </c>
      <c r="I8" s="88">
        <v>213</v>
      </c>
      <c r="J8" s="88">
        <v>176</v>
      </c>
      <c r="K8" s="88">
        <v>171</v>
      </c>
      <c r="L8" s="88">
        <v>172</v>
      </c>
      <c r="M8" s="89">
        <v>209</v>
      </c>
      <c r="N8" s="87">
        <v>175</v>
      </c>
      <c r="O8" s="88">
        <v>95</v>
      </c>
      <c r="P8" s="88">
        <v>34</v>
      </c>
      <c r="Q8" s="88">
        <v>60</v>
      </c>
      <c r="R8" s="88">
        <v>74</v>
      </c>
      <c r="S8" s="88">
        <v>123</v>
      </c>
      <c r="T8" s="88">
        <v>115</v>
      </c>
      <c r="U8" s="88">
        <v>227</v>
      </c>
      <c r="V8" s="88">
        <v>239</v>
      </c>
      <c r="W8" s="89">
        <v>236</v>
      </c>
      <c r="X8" s="87">
        <v>347</v>
      </c>
      <c r="Y8" s="88">
        <v>277</v>
      </c>
      <c r="Z8" s="88">
        <v>262</v>
      </c>
      <c r="AA8" s="88">
        <v>346</v>
      </c>
      <c r="AB8" s="88">
        <v>305</v>
      </c>
      <c r="AC8" s="88">
        <v>421</v>
      </c>
      <c r="AD8" s="88">
        <v>380</v>
      </c>
      <c r="AE8" s="88">
        <v>402</v>
      </c>
      <c r="AF8" s="88">
        <v>301</v>
      </c>
      <c r="AG8" s="89">
        <v>406</v>
      </c>
      <c r="AH8" s="87">
        <v>450</v>
      </c>
      <c r="AI8" s="88">
        <v>399</v>
      </c>
      <c r="AJ8" s="88">
        <v>406</v>
      </c>
      <c r="AK8" s="88">
        <v>481</v>
      </c>
      <c r="AL8" s="88">
        <v>412</v>
      </c>
      <c r="AM8" s="88">
        <v>361</v>
      </c>
      <c r="AN8" s="88">
        <v>438</v>
      </c>
      <c r="AO8" s="88">
        <v>417</v>
      </c>
      <c r="AP8" s="88">
        <v>471</v>
      </c>
      <c r="AQ8" s="89">
        <v>451</v>
      </c>
      <c r="AR8" s="87">
        <v>404</v>
      </c>
      <c r="AS8" s="88">
        <v>400</v>
      </c>
      <c r="AT8" s="88">
        <v>310</v>
      </c>
      <c r="AU8" s="88">
        <v>297</v>
      </c>
      <c r="AV8" s="88">
        <v>366</v>
      </c>
      <c r="AW8" s="88">
        <v>354</v>
      </c>
      <c r="AX8" s="88">
        <v>401</v>
      </c>
      <c r="AY8" s="88">
        <v>424</v>
      </c>
      <c r="AZ8" s="88">
        <v>428</v>
      </c>
      <c r="BA8" s="89">
        <v>419</v>
      </c>
      <c r="BB8" s="30">
        <v>379</v>
      </c>
      <c r="BC8" s="31">
        <v>266</v>
      </c>
      <c r="BD8" s="31">
        <v>229</v>
      </c>
      <c r="BE8" s="67">
        <v>225</v>
      </c>
      <c r="BF8" s="67">
        <v>247</v>
      </c>
      <c r="BG8" s="67">
        <v>239</v>
      </c>
      <c r="BH8" s="88">
        <v>274</v>
      </c>
      <c r="BI8" s="88">
        <v>155</v>
      </c>
      <c r="BJ8" s="88">
        <v>128</v>
      </c>
      <c r="BK8" s="89">
        <v>139</v>
      </c>
      <c r="BL8" s="87">
        <v>27</v>
      </c>
      <c r="BM8" s="88">
        <v>-60</v>
      </c>
      <c r="BN8" s="88">
        <v>-97</v>
      </c>
      <c r="BO8" s="5">
        <f>Births!BO8-Deaths!BO8</f>
        <v>19</v>
      </c>
      <c r="BP8" s="5">
        <f>Births!BP8-Deaths!BP8</f>
        <v>68</v>
      </c>
      <c r="BQ8" s="89">
        <f>Births!BQ8-Deaths!BQ8</f>
        <v>97</v>
      </c>
    </row>
    <row r="9" spans="1:69" x14ac:dyDescent="0.2">
      <c r="A9" s="20" t="s">
        <v>9</v>
      </c>
      <c r="B9" s="21" t="s">
        <v>10</v>
      </c>
      <c r="C9" s="25" t="s">
        <v>2</v>
      </c>
      <c r="D9" s="87">
        <v>415</v>
      </c>
      <c r="E9" s="88">
        <v>456</v>
      </c>
      <c r="F9" s="88">
        <v>334</v>
      </c>
      <c r="G9" s="88">
        <v>259</v>
      </c>
      <c r="H9" s="88">
        <v>231</v>
      </c>
      <c r="I9" s="88">
        <v>181</v>
      </c>
      <c r="J9" s="88">
        <v>149</v>
      </c>
      <c r="K9" s="88">
        <v>175</v>
      </c>
      <c r="L9" s="88">
        <v>149</v>
      </c>
      <c r="M9" s="89">
        <v>202</v>
      </c>
      <c r="N9" s="87">
        <v>208</v>
      </c>
      <c r="O9" s="88">
        <v>208</v>
      </c>
      <c r="P9" s="88">
        <v>194</v>
      </c>
      <c r="Q9" s="88">
        <v>200</v>
      </c>
      <c r="R9" s="88">
        <v>202</v>
      </c>
      <c r="S9" s="88">
        <v>186</v>
      </c>
      <c r="T9" s="88">
        <v>245</v>
      </c>
      <c r="U9" s="88">
        <v>353</v>
      </c>
      <c r="V9" s="88">
        <v>311</v>
      </c>
      <c r="W9" s="89">
        <v>415</v>
      </c>
      <c r="X9" s="87">
        <v>388</v>
      </c>
      <c r="Y9" s="88">
        <v>286</v>
      </c>
      <c r="Z9" s="88">
        <v>301</v>
      </c>
      <c r="AA9" s="88">
        <v>270</v>
      </c>
      <c r="AB9" s="88">
        <v>277</v>
      </c>
      <c r="AC9" s="88">
        <v>208</v>
      </c>
      <c r="AD9" s="88">
        <v>204</v>
      </c>
      <c r="AE9" s="88">
        <v>154</v>
      </c>
      <c r="AF9" s="88">
        <v>141</v>
      </c>
      <c r="AG9" s="89">
        <v>121</v>
      </c>
      <c r="AH9" s="87">
        <v>165</v>
      </c>
      <c r="AI9" s="88">
        <v>58</v>
      </c>
      <c r="AJ9" s="88">
        <v>-59</v>
      </c>
      <c r="AK9" s="88">
        <v>-2</v>
      </c>
      <c r="AL9" s="88">
        <v>-66</v>
      </c>
      <c r="AM9" s="88">
        <v>-128</v>
      </c>
      <c r="AN9" s="88">
        <v>-118</v>
      </c>
      <c r="AO9" s="88">
        <v>-92</v>
      </c>
      <c r="AP9" s="88">
        <v>-93</v>
      </c>
      <c r="AQ9" s="89">
        <v>-191</v>
      </c>
      <c r="AR9" s="87">
        <v>-98</v>
      </c>
      <c r="AS9" s="88">
        <v>-179</v>
      </c>
      <c r="AT9" s="88">
        <v>-250</v>
      </c>
      <c r="AU9" s="88">
        <v>-219</v>
      </c>
      <c r="AV9" s="88">
        <v>-235</v>
      </c>
      <c r="AW9" s="88">
        <v>-198</v>
      </c>
      <c r="AX9" s="88">
        <v>-217</v>
      </c>
      <c r="AY9" s="88">
        <v>-282</v>
      </c>
      <c r="AZ9" s="88">
        <v>-288</v>
      </c>
      <c r="BA9" s="89">
        <v>-261</v>
      </c>
      <c r="BB9" s="30">
        <v>-220</v>
      </c>
      <c r="BC9" s="31">
        <v>-276</v>
      </c>
      <c r="BD9" s="31">
        <v>-261</v>
      </c>
      <c r="BE9" s="67">
        <v>-221</v>
      </c>
      <c r="BF9" s="67">
        <v>-321</v>
      </c>
      <c r="BG9" s="67">
        <v>-243</v>
      </c>
      <c r="BH9" s="88">
        <v>-328</v>
      </c>
      <c r="BI9" s="88">
        <v>-379</v>
      </c>
      <c r="BJ9" s="88">
        <v>-470</v>
      </c>
      <c r="BK9" s="89">
        <v>-534</v>
      </c>
      <c r="BL9" s="87">
        <v>-479</v>
      </c>
      <c r="BM9" s="88">
        <v>-740</v>
      </c>
      <c r="BN9" s="88">
        <v>-738</v>
      </c>
      <c r="BO9" s="5">
        <f>Births!BO9-Deaths!BO9</f>
        <v>-691</v>
      </c>
      <c r="BP9" s="5">
        <f>Births!BP9-Deaths!BP9</f>
        <v>-708</v>
      </c>
      <c r="BQ9" s="89">
        <f>Births!BQ9-Deaths!BQ9</f>
        <v>-648</v>
      </c>
    </row>
    <row r="10" spans="1:69" x14ac:dyDescent="0.2">
      <c r="A10" s="20" t="s">
        <v>11</v>
      </c>
      <c r="B10" s="21" t="s">
        <v>12</v>
      </c>
      <c r="C10" s="25" t="s">
        <v>2</v>
      </c>
      <c r="D10" s="87">
        <v>1237</v>
      </c>
      <c r="E10" s="88">
        <v>1161</v>
      </c>
      <c r="F10" s="88">
        <v>1139</v>
      </c>
      <c r="G10" s="88">
        <v>1049</v>
      </c>
      <c r="H10" s="88">
        <v>917</v>
      </c>
      <c r="I10" s="88">
        <v>842</v>
      </c>
      <c r="J10" s="88">
        <v>929</v>
      </c>
      <c r="K10" s="88">
        <v>929</v>
      </c>
      <c r="L10" s="88">
        <v>1105</v>
      </c>
      <c r="M10" s="89">
        <v>1160</v>
      </c>
      <c r="N10" s="87">
        <v>1367</v>
      </c>
      <c r="O10" s="88">
        <v>1121</v>
      </c>
      <c r="P10" s="88">
        <v>995</v>
      </c>
      <c r="Q10" s="88">
        <v>1121</v>
      </c>
      <c r="R10" s="88">
        <v>1191</v>
      </c>
      <c r="S10" s="88">
        <v>1339</v>
      </c>
      <c r="T10" s="88">
        <v>1439</v>
      </c>
      <c r="U10" s="88">
        <v>1476</v>
      </c>
      <c r="V10" s="88">
        <v>1786</v>
      </c>
      <c r="W10" s="89">
        <v>1945</v>
      </c>
      <c r="X10" s="87">
        <v>2019</v>
      </c>
      <c r="Y10" s="88">
        <v>1991</v>
      </c>
      <c r="Z10" s="88">
        <v>1874</v>
      </c>
      <c r="AA10" s="88">
        <v>1626</v>
      </c>
      <c r="AB10" s="88">
        <v>1708</v>
      </c>
      <c r="AC10" s="88">
        <v>1872</v>
      </c>
      <c r="AD10" s="88">
        <v>1700</v>
      </c>
      <c r="AE10" s="88">
        <v>1822</v>
      </c>
      <c r="AF10" s="88">
        <v>1914</v>
      </c>
      <c r="AG10" s="89">
        <v>2237</v>
      </c>
      <c r="AH10" s="87">
        <v>2422</v>
      </c>
      <c r="AI10" s="88">
        <v>2297</v>
      </c>
      <c r="AJ10" s="88">
        <v>2185</v>
      </c>
      <c r="AK10" s="88">
        <v>2281</v>
      </c>
      <c r="AL10" s="88">
        <v>2389</v>
      </c>
      <c r="AM10" s="88">
        <v>2549</v>
      </c>
      <c r="AN10" s="88">
        <v>2718</v>
      </c>
      <c r="AO10" s="88">
        <v>2904</v>
      </c>
      <c r="AP10" s="88">
        <v>2946</v>
      </c>
      <c r="AQ10" s="89">
        <v>2920</v>
      </c>
      <c r="AR10" s="87">
        <v>3098</v>
      </c>
      <c r="AS10" s="88">
        <v>2886</v>
      </c>
      <c r="AT10" s="88">
        <v>2764</v>
      </c>
      <c r="AU10" s="88">
        <v>2924</v>
      </c>
      <c r="AV10" s="88">
        <v>2874</v>
      </c>
      <c r="AW10" s="88">
        <v>3086</v>
      </c>
      <c r="AX10" s="88">
        <v>3130</v>
      </c>
      <c r="AY10" s="88">
        <v>3221</v>
      </c>
      <c r="AZ10" s="88">
        <v>2970</v>
      </c>
      <c r="BA10" s="89">
        <v>2786</v>
      </c>
      <c r="BB10" s="30">
        <v>2448</v>
      </c>
      <c r="BC10" s="31">
        <v>2445</v>
      </c>
      <c r="BD10" s="31">
        <v>2338</v>
      </c>
      <c r="BE10" s="67">
        <v>2284</v>
      </c>
      <c r="BF10" s="67">
        <v>2229</v>
      </c>
      <c r="BG10" s="67">
        <v>2177</v>
      </c>
      <c r="BH10" s="88">
        <v>2239</v>
      </c>
      <c r="BI10" s="88">
        <v>2022</v>
      </c>
      <c r="BJ10" s="88">
        <v>1765</v>
      </c>
      <c r="BK10" s="89">
        <v>1766</v>
      </c>
      <c r="BL10" s="87">
        <v>1009</v>
      </c>
      <c r="BM10" s="88">
        <v>971</v>
      </c>
      <c r="BN10" s="88">
        <v>857</v>
      </c>
      <c r="BO10" s="5">
        <f>Births!BO10-Deaths!BO10</f>
        <v>1188</v>
      </c>
      <c r="BP10" s="5">
        <f>Births!BP10-Deaths!BP10</f>
        <v>1140</v>
      </c>
      <c r="BQ10" s="89">
        <f>Births!BQ10-Deaths!BQ10</f>
        <v>1275</v>
      </c>
    </row>
    <row r="11" spans="1:69" x14ac:dyDescent="0.2">
      <c r="A11" s="20" t="s">
        <v>13</v>
      </c>
      <c r="B11" s="21" t="s">
        <v>14</v>
      </c>
      <c r="C11" s="25" t="s">
        <v>2</v>
      </c>
      <c r="D11" s="87">
        <v>25</v>
      </c>
      <c r="E11" s="88">
        <v>14</v>
      </c>
      <c r="F11" s="88">
        <v>26</v>
      </c>
      <c r="G11" s="88">
        <v>24</v>
      </c>
      <c r="H11" s="88">
        <v>12</v>
      </c>
      <c r="I11" s="88">
        <v>2</v>
      </c>
      <c r="J11" s="88">
        <v>5</v>
      </c>
      <c r="K11" s="88">
        <v>35</v>
      </c>
      <c r="L11" s="88">
        <v>5</v>
      </c>
      <c r="M11" s="89">
        <v>-18</v>
      </c>
      <c r="N11" s="87">
        <v>-30</v>
      </c>
      <c r="O11" s="88">
        <v>-9</v>
      </c>
      <c r="P11" s="88">
        <v>7</v>
      </c>
      <c r="Q11" s="88">
        <v>2</v>
      </c>
      <c r="R11" s="88">
        <v>-7</v>
      </c>
      <c r="S11" s="88">
        <v>5</v>
      </c>
      <c r="T11" s="88">
        <v>7</v>
      </c>
      <c r="U11" s="88">
        <v>4</v>
      </c>
      <c r="V11" s="88">
        <v>22</v>
      </c>
      <c r="W11" s="89">
        <v>15</v>
      </c>
      <c r="X11" s="87">
        <v>-2</v>
      </c>
      <c r="Y11" s="88">
        <v>10</v>
      </c>
      <c r="Z11" s="88">
        <v>8</v>
      </c>
      <c r="AA11" s="88">
        <v>14</v>
      </c>
      <c r="AB11" s="88">
        <v>-2</v>
      </c>
      <c r="AC11" s="88">
        <v>-11</v>
      </c>
      <c r="AD11" s="88">
        <v>13</v>
      </c>
      <c r="AE11" s="88">
        <v>19</v>
      </c>
      <c r="AF11" s="88">
        <v>-15</v>
      </c>
      <c r="AG11" s="89">
        <v>-4</v>
      </c>
      <c r="AH11" s="87">
        <v>17</v>
      </c>
      <c r="AI11" s="88">
        <v>-4</v>
      </c>
      <c r="AJ11" s="88">
        <v>9</v>
      </c>
      <c r="AK11" s="88">
        <v>-4</v>
      </c>
      <c r="AL11" s="88">
        <v>-20</v>
      </c>
      <c r="AM11" s="88">
        <v>2</v>
      </c>
      <c r="AN11" s="88">
        <v>-2</v>
      </c>
      <c r="AO11" s="88">
        <v>-6</v>
      </c>
      <c r="AP11" s="88">
        <v>-7</v>
      </c>
      <c r="AQ11" s="89">
        <v>-35</v>
      </c>
      <c r="AR11" s="87">
        <v>-13</v>
      </c>
      <c r="AS11" s="88">
        <v>-8</v>
      </c>
      <c r="AT11" s="88">
        <v>-6</v>
      </c>
      <c r="AU11" s="88">
        <v>-18</v>
      </c>
      <c r="AV11" s="88">
        <v>-14</v>
      </c>
      <c r="AW11" s="88">
        <v>-10</v>
      </c>
      <c r="AX11" s="88">
        <v>-6</v>
      </c>
      <c r="AY11" s="88">
        <v>-14</v>
      </c>
      <c r="AZ11" s="88">
        <v>1</v>
      </c>
      <c r="BA11" s="89">
        <v>-10</v>
      </c>
      <c r="BB11" s="30">
        <v>-26</v>
      </c>
      <c r="BC11" s="31">
        <v>-20</v>
      </c>
      <c r="BD11" s="31">
        <v>-3</v>
      </c>
      <c r="BE11" s="67">
        <v>-15</v>
      </c>
      <c r="BF11" s="67">
        <v>-29</v>
      </c>
      <c r="BG11" s="67">
        <v>-16</v>
      </c>
      <c r="BH11" s="88">
        <v>-23</v>
      </c>
      <c r="BI11" s="88">
        <v>-26</v>
      </c>
      <c r="BJ11" s="88">
        <v>-15</v>
      </c>
      <c r="BK11" s="89">
        <v>-22</v>
      </c>
      <c r="BL11" s="87">
        <v>-30</v>
      </c>
      <c r="BM11" s="88">
        <v>-51</v>
      </c>
      <c r="BN11" s="88">
        <v>-42</v>
      </c>
      <c r="BO11" s="5">
        <f>Births!BO11-Deaths!BO11</f>
        <v>-74</v>
      </c>
      <c r="BP11" s="5">
        <f>Births!BP11-Deaths!BP11</f>
        <v>-8</v>
      </c>
      <c r="BQ11" s="89">
        <f>Births!BQ11-Deaths!BQ11</f>
        <v>-19</v>
      </c>
    </row>
    <row r="12" spans="1:69" x14ac:dyDescent="0.2">
      <c r="A12" s="20" t="s">
        <v>15</v>
      </c>
      <c r="B12" s="21" t="s">
        <v>16</v>
      </c>
      <c r="C12" s="25"/>
      <c r="D12" s="87">
        <v>862</v>
      </c>
      <c r="E12" s="88">
        <v>788</v>
      </c>
      <c r="F12" s="88">
        <v>778</v>
      </c>
      <c r="G12" s="88">
        <v>645</v>
      </c>
      <c r="H12" s="88">
        <v>683</v>
      </c>
      <c r="I12" s="88">
        <v>679</v>
      </c>
      <c r="J12" s="88">
        <v>646</v>
      </c>
      <c r="K12" s="88">
        <v>638</v>
      </c>
      <c r="L12" s="88">
        <v>662</v>
      </c>
      <c r="M12" s="89">
        <v>677</v>
      </c>
      <c r="N12" s="87">
        <v>877</v>
      </c>
      <c r="O12" s="88">
        <v>626</v>
      </c>
      <c r="P12" s="88">
        <v>445</v>
      </c>
      <c r="Q12" s="88">
        <v>481</v>
      </c>
      <c r="R12" s="88">
        <v>606</v>
      </c>
      <c r="S12" s="88">
        <v>586</v>
      </c>
      <c r="T12" s="88">
        <v>604</v>
      </c>
      <c r="U12" s="88">
        <v>572</v>
      </c>
      <c r="V12" s="88">
        <v>615</v>
      </c>
      <c r="W12" s="89">
        <v>796</v>
      </c>
      <c r="X12" s="87">
        <v>633</v>
      </c>
      <c r="Y12" s="88">
        <v>698</v>
      </c>
      <c r="Z12" s="88">
        <v>599</v>
      </c>
      <c r="AA12" s="88">
        <v>514</v>
      </c>
      <c r="AB12" s="88">
        <v>491</v>
      </c>
      <c r="AC12" s="88">
        <v>455</v>
      </c>
      <c r="AD12" s="88">
        <v>528</v>
      </c>
      <c r="AE12" s="88">
        <v>441</v>
      </c>
      <c r="AF12" s="88">
        <v>513</v>
      </c>
      <c r="AG12" s="89">
        <v>637</v>
      </c>
      <c r="AH12" s="87">
        <v>654</v>
      </c>
      <c r="AI12" s="88">
        <v>536</v>
      </c>
      <c r="AJ12" s="88">
        <v>447</v>
      </c>
      <c r="AK12" s="88">
        <v>415</v>
      </c>
      <c r="AL12" s="88">
        <v>405</v>
      </c>
      <c r="AM12" s="88">
        <v>361</v>
      </c>
      <c r="AN12" s="88">
        <v>351</v>
      </c>
      <c r="AO12" s="88">
        <v>265</v>
      </c>
      <c r="AP12" s="88">
        <v>389</v>
      </c>
      <c r="AQ12" s="89">
        <v>354</v>
      </c>
      <c r="AR12" s="87">
        <v>361</v>
      </c>
      <c r="AS12" s="88">
        <v>323</v>
      </c>
      <c r="AT12" s="88">
        <v>236</v>
      </c>
      <c r="AU12" s="88">
        <v>191</v>
      </c>
      <c r="AV12" s="88">
        <v>288</v>
      </c>
      <c r="AW12" s="88">
        <v>251</v>
      </c>
      <c r="AX12" s="88">
        <v>319</v>
      </c>
      <c r="AY12" s="88">
        <v>364</v>
      </c>
      <c r="AZ12" s="88">
        <v>328</v>
      </c>
      <c r="BA12" s="89">
        <v>278</v>
      </c>
      <c r="BB12" s="30">
        <v>253</v>
      </c>
      <c r="BC12" s="31">
        <v>192</v>
      </c>
      <c r="BD12" s="31">
        <v>95</v>
      </c>
      <c r="BE12" s="67">
        <v>51</v>
      </c>
      <c r="BF12" s="67">
        <v>38</v>
      </c>
      <c r="BG12" s="67">
        <v>159</v>
      </c>
      <c r="BH12" s="88">
        <v>104</v>
      </c>
      <c r="BI12" s="88">
        <v>20</v>
      </c>
      <c r="BJ12" s="88">
        <v>72</v>
      </c>
      <c r="BK12" s="89">
        <v>5</v>
      </c>
      <c r="BL12" s="87">
        <v>-124</v>
      </c>
      <c r="BM12" s="88">
        <v>-395</v>
      </c>
      <c r="BN12" s="88">
        <v>-102</v>
      </c>
      <c r="BO12" s="5">
        <f>Births!BO12-Deaths!BO12</f>
        <v>-97</v>
      </c>
      <c r="BP12" s="5">
        <f>Births!BP12-Deaths!BP12</f>
        <v>-162</v>
      </c>
      <c r="BQ12" s="89">
        <f>Births!BQ12-Deaths!BQ12</f>
        <v>-138</v>
      </c>
    </row>
    <row r="13" spans="1:69" x14ac:dyDescent="0.2">
      <c r="A13" s="20" t="s">
        <v>17</v>
      </c>
      <c r="B13" s="21" t="s">
        <v>18</v>
      </c>
      <c r="C13" s="25" t="s">
        <v>2</v>
      </c>
      <c r="D13" s="87">
        <v>210</v>
      </c>
      <c r="E13" s="88">
        <v>221</v>
      </c>
      <c r="F13" s="88">
        <v>137</v>
      </c>
      <c r="G13" s="88">
        <v>123</v>
      </c>
      <c r="H13" s="88">
        <v>108</v>
      </c>
      <c r="I13" s="88">
        <v>95</v>
      </c>
      <c r="J13" s="88">
        <v>84</v>
      </c>
      <c r="K13" s="88">
        <v>81</v>
      </c>
      <c r="L13" s="88">
        <v>126</v>
      </c>
      <c r="M13" s="89">
        <v>115</v>
      </c>
      <c r="N13" s="87">
        <v>130</v>
      </c>
      <c r="O13" s="88">
        <v>119</v>
      </c>
      <c r="P13" s="88">
        <v>74</v>
      </c>
      <c r="Q13" s="88">
        <v>133</v>
      </c>
      <c r="R13" s="88">
        <v>103</v>
      </c>
      <c r="S13" s="88">
        <v>144</v>
      </c>
      <c r="T13" s="88">
        <v>163</v>
      </c>
      <c r="U13" s="88">
        <v>208</v>
      </c>
      <c r="V13" s="88">
        <v>220</v>
      </c>
      <c r="W13" s="89">
        <v>238</v>
      </c>
      <c r="X13" s="87">
        <v>235</v>
      </c>
      <c r="Y13" s="88">
        <v>243</v>
      </c>
      <c r="Z13" s="88">
        <v>218</v>
      </c>
      <c r="AA13" s="88">
        <v>202</v>
      </c>
      <c r="AB13" s="88">
        <v>186</v>
      </c>
      <c r="AC13" s="88">
        <v>220</v>
      </c>
      <c r="AD13" s="88">
        <v>189</v>
      </c>
      <c r="AE13" s="88">
        <v>157</v>
      </c>
      <c r="AF13" s="88">
        <v>165</v>
      </c>
      <c r="AG13" s="89">
        <v>190</v>
      </c>
      <c r="AH13" s="87">
        <v>256</v>
      </c>
      <c r="AI13" s="88">
        <v>242</v>
      </c>
      <c r="AJ13" s="88">
        <v>216</v>
      </c>
      <c r="AK13" s="88">
        <v>263</v>
      </c>
      <c r="AL13" s="88">
        <v>269</v>
      </c>
      <c r="AM13" s="88">
        <v>205</v>
      </c>
      <c r="AN13" s="88">
        <v>218</v>
      </c>
      <c r="AO13" s="88">
        <v>222</v>
      </c>
      <c r="AP13" s="88">
        <v>203</v>
      </c>
      <c r="AQ13" s="89">
        <v>234</v>
      </c>
      <c r="AR13" s="87">
        <v>204</v>
      </c>
      <c r="AS13" s="88">
        <v>207</v>
      </c>
      <c r="AT13" s="88">
        <v>181</v>
      </c>
      <c r="AU13" s="88">
        <v>176</v>
      </c>
      <c r="AV13" s="88">
        <v>175</v>
      </c>
      <c r="AW13" s="88">
        <v>277</v>
      </c>
      <c r="AX13" s="88">
        <v>278</v>
      </c>
      <c r="AY13" s="88">
        <v>293</v>
      </c>
      <c r="AZ13" s="88">
        <v>331</v>
      </c>
      <c r="BA13" s="89">
        <v>231</v>
      </c>
      <c r="BB13" s="30">
        <v>229</v>
      </c>
      <c r="BC13" s="31">
        <v>241</v>
      </c>
      <c r="BD13" s="31">
        <v>218</v>
      </c>
      <c r="BE13" s="67">
        <v>187</v>
      </c>
      <c r="BF13" s="67">
        <v>234</v>
      </c>
      <c r="BG13" s="67">
        <v>222</v>
      </c>
      <c r="BH13" s="88">
        <v>222</v>
      </c>
      <c r="BI13" s="88">
        <v>259</v>
      </c>
      <c r="BJ13" s="88">
        <v>164</v>
      </c>
      <c r="BK13" s="89">
        <v>168</v>
      </c>
      <c r="BL13" s="87">
        <v>126</v>
      </c>
      <c r="BM13" s="88">
        <v>118</v>
      </c>
      <c r="BN13" s="88">
        <v>114</v>
      </c>
      <c r="BO13" s="5">
        <f>Births!BO13-Deaths!BO13</f>
        <v>143</v>
      </c>
      <c r="BP13" s="5">
        <f>Births!BP13-Deaths!BP13</f>
        <v>179</v>
      </c>
      <c r="BQ13" s="89">
        <f>Births!BQ13-Deaths!BQ13</f>
        <v>126</v>
      </c>
    </row>
    <row r="14" spans="1:69" x14ac:dyDescent="0.2">
      <c r="A14" s="20" t="s">
        <v>19</v>
      </c>
      <c r="B14" s="21" t="s">
        <v>20</v>
      </c>
      <c r="C14" s="25" t="s">
        <v>2</v>
      </c>
      <c r="D14" s="87">
        <v>43</v>
      </c>
      <c r="E14" s="88">
        <v>55</v>
      </c>
      <c r="F14" s="88">
        <v>41</v>
      </c>
      <c r="G14" s="88">
        <v>28</v>
      </c>
      <c r="H14" s="88">
        <v>39</v>
      </c>
      <c r="I14" s="88">
        <v>30</v>
      </c>
      <c r="J14" s="88">
        <v>17</v>
      </c>
      <c r="K14" s="88">
        <v>23</v>
      </c>
      <c r="L14" s="88">
        <v>41</v>
      </c>
      <c r="M14" s="89">
        <v>21</v>
      </c>
      <c r="N14" s="87">
        <v>34</v>
      </c>
      <c r="O14" s="88">
        <v>50</v>
      </c>
      <c r="P14" s="88">
        <v>30</v>
      </c>
      <c r="Q14" s="88">
        <v>41</v>
      </c>
      <c r="R14" s="88">
        <v>46</v>
      </c>
      <c r="S14" s="88">
        <v>42</v>
      </c>
      <c r="T14" s="88">
        <v>36</v>
      </c>
      <c r="U14" s="88">
        <v>37</v>
      </c>
      <c r="V14" s="88">
        <v>49</v>
      </c>
      <c r="W14" s="89">
        <v>82</v>
      </c>
      <c r="X14" s="87">
        <v>75</v>
      </c>
      <c r="Y14" s="88">
        <v>86</v>
      </c>
      <c r="Z14" s="88">
        <v>71</v>
      </c>
      <c r="AA14" s="88">
        <v>62</v>
      </c>
      <c r="AB14" s="88">
        <v>54</v>
      </c>
      <c r="AC14" s="88">
        <v>45</v>
      </c>
      <c r="AD14" s="88">
        <v>29</v>
      </c>
      <c r="AE14" s="88">
        <v>35</v>
      </c>
      <c r="AF14" s="88">
        <v>42</v>
      </c>
      <c r="AG14" s="89">
        <v>41</v>
      </c>
      <c r="AH14" s="87">
        <v>30</v>
      </c>
      <c r="AI14" s="88">
        <v>50</v>
      </c>
      <c r="AJ14" s="88">
        <v>36</v>
      </c>
      <c r="AK14" s="88">
        <v>8</v>
      </c>
      <c r="AL14" s="88">
        <v>25</v>
      </c>
      <c r="AM14" s="88">
        <v>26</v>
      </c>
      <c r="AN14" s="88">
        <v>-2</v>
      </c>
      <c r="AO14" s="88">
        <v>14</v>
      </c>
      <c r="AP14" s="88">
        <v>18</v>
      </c>
      <c r="AQ14" s="89">
        <v>4</v>
      </c>
      <c r="AR14" s="87">
        <v>31</v>
      </c>
      <c r="AS14" s="88">
        <v>19</v>
      </c>
      <c r="AT14" s="88">
        <v>25</v>
      </c>
      <c r="AU14" s="88">
        <v>0</v>
      </c>
      <c r="AV14" s="88">
        <v>-5</v>
      </c>
      <c r="AW14" s="88">
        <v>-7</v>
      </c>
      <c r="AX14" s="88">
        <v>-2</v>
      </c>
      <c r="AY14" s="88">
        <v>-28</v>
      </c>
      <c r="AZ14" s="88">
        <v>3</v>
      </c>
      <c r="BA14" s="89">
        <v>-6</v>
      </c>
      <c r="BB14" s="30">
        <v>-25</v>
      </c>
      <c r="BC14" s="31">
        <v>-11</v>
      </c>
      <c r="BD14" s="31">
        <v>-14</v>
      </c>
      <c r="BE14" s="67">
        <v>-16</v>
      </c>
      <c r="BF14" s="67">
        <v>-7</v>
      </c>
      <c r="BG14" s="67">
        <v>-16</v>
      </c>
      <c r="BH14" s="88">
        <v>-2</v>
      </c>
      <c r="BI14" s="88">
        <v>-19</v>
      </c>
      <c r="BJ14" s="88">
        <v>-29</v>
      </c>
      <c r="BK14" s="89">
        <v>-12</v>
      </c>
      <c r="BL14" s="87">
        <v>-37</v>
      </c>
      <c r="BM14" s="88">
        <v>-78</v>
      </c>
      <c r="BN14" s="88">
        <v>-46</v>
      </c>
      <c r="BO14" s="5">
        <f>Births!BO14-Deaths!BO14</f>
        <v>-59</v>
      </c>
      <c r="BP14" s="5">
        <f>Births!BP14-Deaths!BP14</f>
        <v>-44</v>
      </c>
      <c r="BQ14" s="89">
        <f>Births!BQ14-Deaths!BQ14</f>
        <v>-28</v>
      </c>
    </row>
    <row r="15" spans="1:69" x14ac:dyDescent="0.2">
      <c r="A15" s="20" t="s">
        <v>21</v>
      </c>
      <c r="B15" s="21" t="s">
        <v>22</v>
      </c>
      <c r="C15" s="25" t="s">
        <v>2</v>
      </c>
      <c r="D15" s="87">
        <v>401</v>
      </c>
      <c r="E15" s="88">
        <v>351</v>
      </c>
      <c r="F15" s="88">
        <v>368</v>
      </c>
      <c r="G15" s="88">
        <v>387</v>
      </c>
      <c r="H15" s="88">
        <v>318</v>
      </c>
      <c r="I15" s="88">
        <v>293</v>
      </c>
      <c r="J15" s="88">
        <v>248</v>
      </c>
      <c r="K15" s="88">
        <v>253</v>
      </c>
      <c r="L15" s="88">
        <v>236</v>
      </c>
      <c r="M15" s="89">
        <v>321</v>
      </c>
      <c r="N15" s="87">
        <v>267</v>
      </c>
      <c r="O15" s="88">
        <v>282</v>
      </c>
      <c r="P15" s="88">
        <v>296</v>
      </c>
      <c r="Q15" s="88">
        <v>268</v>
      </c>
      <c r="R15" s="88">
        <v>360</v>
      </c>
      <c r="S15" s="88">
        <v>340</v>
      </c>
      <c r="T15" s="88">
        <v>511</v>
      </c>
      <c r="U15" s="88">
        <v>508</v>
      </c>
      <c r="V15" s="88">
        <v>618</v>
      </c>
      <c r="W15" s="89">
        <v>687</v>
      </c>
      <c r="X15" s="87">
        <v>709</v>
      </c>
      <c r="Y15" s="88">
        <v>673</v>
      </c>
      <c r="Z15" s="88">
        <v>690</v>
      </c>
      <c r="AA15" s="88">
        <v>651</v>
      </c>
      <c r="AB15" s="88">
        <v>536</v>
      </c>
      <c r="AC15" s="88">
        <v>527</v>
      </c>
      <c r="AD15" s="88">
        <v>487</v>
      </c>
      <c r="AE15" s="88">
        <v>489</v>
      </c>
      <c r="AF15" s="88">
        <v>511</v>
      </c>
      <c r="AG15" s="89">
        <v>531</v>
      </c>
      <c r="AH15" s="87">
        <v>681</v>
      </c>
      <c r="AI15" s="88">
        <v>702</v>
      </c>
      <c r="AJ15" s="88">
        <v>713</v>
      </c>
      <c r="AK15" s="88">
        <v>702</v>
      </c>
      <c r="AL15" s="88">
        <v>729</v>
      </c>
      <c r="AM15" s="88">
        <v>738</v>
      </c>
      <c r="AN15" s="88">
        <v>743</v>
      </c>
      <c r="AO15" s="88">
        <v>714</v>
      </c>
      <c r="AP15" s="88">
        <v>755</v>
      </c>
      <c r="AQ15" s="89">
        <v>801</v>
      </c>
      <c r="AR15" s="87">
        <v>779</v>
      </c>
      <c r="AS15" s="88">
        <v>884</v>
      </c>
      <c r="AT15" s="88">
        <v>931</v>
      </c>
      <c r="AU15" s="88">
        <v>1037</v>
      </c>
      <c r="AV15" s="88">
        <v>1096</v>
      </c>
      <c r="AW15" s="88">
        <v>1205</v>
      </c>
      <c r="AX15" s="88">
        <v>1222</v>
      </c>
      <c r="AY15" s="88">
        <v>1324</v>
      </c>
      <c r="AZ15" s="88">
        <v>1325</v>
      </c>
      <c r="BA15" s="89">
        <v>1300</v>
      </c>
      <c r="BB15" s="30">
        <v>1334</v>
      </c>
      <c r="BC15" s="31">
        <v>1372</v>
      </c>
      <c r="BD15" s="31">
        <v>1272</v>
      </c>
      <c r="BE15" s="67">
        <v>1268</v>
      </c>
      <c r="BF15" s="67">
        <v>1288</v>
      </c>
      <c r="BG15" s="67">
        <v>1285</v>
      </c>
      <c r="BH15" s="88">
        <v>1245</v>
      </c>
      <c r="BI15" s="88">
        <v>1172</v>
      </c>
      <c r="BJ15" s="88">
        <v>1061</v>
      </c>
      <c r="BK15" s="89">
        <v>1102</v>
      </c>
      <c r="BL15" s="87">
        <v>921</v>
      </c>
      <c r="BM15" s="88">
        <v>880</v>
      </c>
      <c r="BN15" s="88">
        <v>881</v>
      </c>
      <c r="BO15" s="5">
        <f>Births!BO15-Deaths!BO15</f>
        <v>937</v>
      </c>
      <c r="BP15" s="5">
        <f>Births!BP15-Deaths!BP15</f>
        <v>955</v>
      </c>
      <c r="BQ15" s="89">
        <f>Births!BQ15-Deaths!BQ15</f>
        <v>981</v>
      </c>
    </row>
    <row r="16" spans="1:69" x14ac:dyDescent="0.2">
      <c r="A16" s="20" t="s">
        <v>23</v>
      </c>
      <c r="B16" s="21" t="s">
        <v>24</v>
      </c>
      <c r="C16" s="25" t="s">
        <v>2</v>
      </c>
      <c r="D16" s="87">
        <v>29</v>
      </c>
      <c r="E16" s="88">
        <v>41</v>
      </c>
      <c r="F16" s="88">
        <v>12</v>
      </c>
      <c r="G16" s="88">
        <v>29</v>
      </c>
      <c r="H16" s="88">
        <v>4</v>
      </c>
      <c r="I16" s="88">
        <v>0</v>
      </c>
      <c r="J16" s="88">
        <v>9</v>
      </c>
      <c r="K16" s="88">
        <v>25</v>
      </c>
      <c r="L16" s="88">
        <v>17</v>
      </c>
      <c r="M16" s="89">
        <v>-1</v>
      </c>
      <c r="N16" s="87">
        <v>26</v>
      </c>
      <c r="O16" s="88">
        <v>-6</v>
      </c>
      <c r="P16" s="88">
        <v>-10</v>
      </c>
      <c r="Q16" s="88">
        <v>12</v>
      </c>
      <c r="R16" s="88">
        <v>25</v>
      </c>
      <c r="S16" s="88">
        <v>1</v>
      </c>
      <c r="T16" s="88">
        <v>18</v>
      </c>
      <c r="U16" s="88">
        <v>10</v>
      </c>
      <c r="V16" s="88">
        <v>20</v>
      </c>
      <c r="W16" s="89">
        <v>11</v>
      </c>
      <c r="X16" s="87">
        <v>15</v>
      </c>
      <c r="Y16" s="88">
        <v>21</v>
      </c>
      <c r="Z16" s="88">
        <v>8</v>
      </c>
      <c r="AA16" s="88">
        <v>7</v>
      </c>
      <c r="AB16" s="88">
        <v>2</v>
      </c>
      <c r="AC16" s="88">
        <v>-1</v>
      </c>
      <c r="AD16" s="88">
        <v>-2</v>
      </c>
      <c r="AE16" s="88">
        <v>-8</v>
      </c>
      <c r="AF16" s="88">
        <v>-10</v>
      </c>
      <c r="AG16" s="89">
        <v>-13</v>
      </c>
      <c r="AH16" s="87">
        <v>-6</v>
      </c>
      <c r="AI16" s="88">
        <v>-1</v>
      </c>
      <c r="AJ16" s="88">
        <v>-12</v>
      </c>
      <c r="AK16" s="88">
        <v>-13</v>
      </c>
      <c r="AL16" s="88">
        <v>-31</v>
      </c>
      <c r="AM16" s="88">
        <v>-7</v>
      </c>
      <c r="AN16" s="88">
        <v>-14</v>
      </c>
      <c r="AO16" s="88">
        <v>-17</v>
      </c>
      <c r="AP16" s="88">
        <v>-10</v>
      </c>
      <c r="AQ16" s="89">
        <v>-2</v>
      </c>
      <c r="AR16" s="87">
        <v>-6</v>
      </c>
      <c r="AS16" s="88">
        <v>-15</v>
      </c>
      <c r="AT16" s="88">
        <v>-5</v>
      </c>
      <c r="AU16" s="88">
        <v>-9</v>
      </c>
      <c r="AV16" s="88">
        <v>-13</v>
      </c>
      <c r="AW16" s="88">
        <v>-12</v>
      </c>
      <c r="AX16" s="88">
        <v>-10</v>
      </c>
      <c r="AY16" s="88">
        <v>-6</v>
      </c>
      <c r="AZ16" s="88">
        <v>-8</v>
      </c>
      <c r="BA16" s="89">
        <v>-9</v>
      </c>
      <c r="BB16" s="30">
        <v>-2</v>
      </c>
      <c r="BC16" s="31">
        <v>-15</v>
      </c>
      <c r="BD16" s="31">
        <v>-15</v>
      </c>
      <c r="BE16" s="67">
        <v>-1</v>
      </c>
      <c r="BF16" s="67">
        <v>8</v>
      </c>
      <c r="BG16" s="67">
        <v>0</v>
      </c>
      <c r="BH16" s="88">
        <v>9</v>
      </c>
      <c r="BI16" s="88">
        <v>-9</v>
      </c>
      <c r="BJ16" s="88">
        <v>-8</v>
      </c>
      <c r="BK16" s="89">
        <v>-2</v>
      </c>
      <c r="BL16" s="87">
        <v>-12</v>
      </c>
      <c r="BM16" s="88">
        <v>-8</v>
      </c>
      <c r="BN16" s="88">
        <v>-1</v>
      </c>
      <c r="BO16" s="5">
        <f>Births!BO16-Deaths!BO16</f>
        <v>-16</v>
      </c>
      <c r="BP16" s="5">
        <f>Births!BP16-Deaths!BP16</f>
        <v>-6</v>
      </c>
      <c r="BQ16" s="89">
        <f>Births!BQ16-Deaths!BQ16</f>
        <v>-20</v>
      </c>
    </row>
    <row r="17" spans="1:69" x14ac:dyDescent="0.2">
      <c r="A17" s="20" t="s">
        <v>25</v>
      </c>
      <c r="B17" s="21" t="s">
        <v>26</v>
      </c>
      <c r="C17" s="25"/>
      <c r="D17" s="87">
        <v>1172</v>
      </c>
      <c r="E17" s="88">
        <v>1345</v>
      </c>
      <c r="F17" s="88">
        <v>1215</v>
      </c>
      <c r="G17" s="88">
        <v>1024</v>
      </c>
      <c r="H17" s="88">
        <v>851</v>
      </c>
      <c r="I17" s="88">
        <v>633</v>
      </c>
      <c r="J17" s="88">
        <v>424</v>
      </c>
      <c r="K17" s="88">
        <v>420</v>
      </c>
      <c r="L17" s="88">
        <v>401</v>
      </c>
      <c r="M17" s="89">
        <v>412</v>
      </c>
      <c r="N17" s="87">
        <v>554</v>
      </c>
      <c r="O17" s="88">
        <v>424</v>
      </c>
      <c r="P17" s="88">
        <v>404</v>
      </c>
      <c r="Q17" s="88">
        <v>402</v>
      </c>
      <c r="R17" s="88">
        <v>405</v>
      </c>
      <c r="S17" s="88">
        <v>487</v>
      </c>
      <c r="T17" s="88">
        <v>588</v>
      </c>
      <c r="U17" s="88">
        <v>586</v>
      </c>
      <c r="V17" s="88">
        <v>564</v>
      </c>
      <c r="W17" s="89">
        <v>610</v>
      </c>
      <c r="X17" s="87">
        <v>617</v>
      </c>
      <c r="Y17" s="88">
        <v>573</v>
      </c>
      <c r="Z17" s="88">
        <v>572</v>
      </c>
      <c r="AA17" s="88">
        <v>590</v>
      </c>
      <c r="AB17" s="88">
        <v>576</v>
      </c>
      <c r="AC17" s="88">
        <v>633</v>
      </c>
      <c r="AD17" s="88">
        <v>532</v>
      </c>
      <c r="AE17" s="88">
        <v>550</v>
      </c>
      <c r="AF17" s="88">
        <v>450</v>
      </c>
      <c r="AG17" s="89">
        <v>531</v>
      </c>
      <c r="AH17" s="87">
        <v>567</v>
      </c>
      <c r="AI17" s="88">
        <v>743</v>
      </c>
      <c r="AJ17" s="88">
        <v>661</v>
      </c>
      <c r="AK17" s="88">
        <v>659</v>
      </c>
      <c r="AL17" s="88">
        <v>696</v>
      </c>
      <c r="AM17" s="88">
        <v>743</v>
      </c>
      <c r="AN17" s="88">
        <v>764</v>
      </c>
      <c r="AO17" s="88">
        <v>884</v>
      </c>
      <c r="AP17" s="88">
        <v>800</v>
      </c>
      <c r="AQ17" s="89">
        <v>874</v>
      </c>
      <c r="AR17" s="87">
        <v>902</v>
      </c>
      <c r="AS17" s="88">
        <v>786</v>
      </c>
      <c r="AT17" s="88">
        <v>801</v>
      </c>
      <c r="AU17" s="88">
        <v>860</v>
      </c>
      <c r="AV17" s="88">
        <v>866</v>
      </c>
      <c r="AW17" s="88">
        <v>934</v>
      </c>
      <c r="AX17" s="88">
        <v>919</v>
      </c>
      <c r="AY17" s="88">
        <v>1038</v>
      </c>
      <c r="AZ17" s="88">
        <v>1016</v>
      </c>
      <c r="BA17" s="89">
        <v>1041</v>
      </c>
      <c r="BB17" s="30">
        <v>958</v>
      </c>
      <c r="BC17" s="31">
        <v>928</v>
      </c>
      <c r="BD17" s="31">
        <v>901</v>
      </c>
      <c r="BE17" s="67">
        <v>813</v>
      </c>
      <c r="BF17" s="67">
        <v>824</v>
      </c>
      <c r="BG17" s="67">
        <v>835</v>
      </c>
      <c r="BH17" s="88">
        <v>776</v>
      </c>
      <c r="BI17" s="88">
        <v>735</v>
      </c>
      <c r="BJ17" s="88">
        <v>798</v>
      </c>
      <c r="BK17" s="89">
        <v>705</v>
      </c>
      <c r="BL17" s="87">
        <v>527</v>
      </c>
      <c r="BM17" s="88">
        <v>419</v>
      </c>
      <c r="BN17" s="88">
        <v>524</v>
      </c>
      <c r="BO17" s="5">
        <f>Births!BO17-Deaths!BO17</f>
        <v>531</v>
      </c>
      <c r="BP17" s="5">
        <f>Births!BP17-Deaths!BP17</f>
        <v>780</v>
      </c>
      <c r="BQ17" s="89">
        <f>Births!BQ17-Deaths!BQ17</f>
        <v>592</v>
      </c>
    </row>
    <row r="18" spans="1:69" x14ac:dyDescent="0.2">
      <c r="A18" s="20" t="s">
        <v>27</v>
      </c>
      <c r="B18" s="21" t="s">
        <v>28</v>
      </c>
      <c r="C18" s="25" t="s">
        <v>2</v>
      </c>
      <c r="D18" s="87">
        <v>556</v>
      </c>
      <c r="E18" s="88">
        <v>359</v>
      </c>
      <c r="F18" s="88">
        <v>483</v>
      </c>
      <c r="G18" s="88">
        <v>338</v>
      </c>
      <c r="H18" s="88">
        <v>403</v>
      </c>
      <c r="I18" s="88">
        <v>360</v>
      </c>
      <c r="J18" s="88">
        <v>346</v>
      </c>
      <c r="K18" s="88">
        <v>246</v>
      </c>
      <c r="L18" s="88">
        <v>263</v>
      </c>
      <c r="M18" s="89">
        <v>362</v>
      </c>
      <c r="N18" s="87">
        <v>414</v>
      </c>
      <c r="O18" s="88">
        <v>268</v>
      </c>
      <c r="P18" s="88">
        <v>279</v>
      </c>
      <c r="Q18" s="88">
        <v>175</v>
      </c>
      <c r="R18" s="88">
        <v>217</v>
      </c>
      <c r="S18" s="88">
        <v>208</v>
      </c>
      <c r="T18" s="88">
        <v>348</v>
      </c>
      <c r="U18" s="88">
        <v>365</v>
      </c>
      <c r="V18" s="88">
        <v>500</v>
      </c>
      <c r="W18" s="89">
        <v>581</v>
      </c>
      <c r="X18" s="87">
        <v>459</v>
      </c>
      <c r="Y18" s="88">
        <v>417</v>
      </c>
      <c r="Z18" s="88">
        <v>477</v>
      </c>
      <c r="AA18" s="88">
        <v>394</v>
      </c>
      <c r="AB18" s="88">
        <v>388</v>
      </c>
      <c r="AC18" s="88">
        <v>349</v>
      </c>
      <c r="AD18" s="88">
        <v>264</v>
      </c>
      <c r="AE18" s="88">
        <v>161</v>
      </c>
      <c r="AF18" s="88">
        <v>213</v>
      </c>
      <c r="AG18" s="89">
        <v>233</v>
      </c>
      <c r="AH18" s="87">
        <v>203</v>
      </c>
      <c r="AI18" s="88">
        <v>273</v>
      </c>
      <c r="AJ18" s="88">
        <v>185</v>
      </c>
      <c r="AK18" s="88">
        <v>121</v>
      </c>
      <c r="AL18" s="88">
        <v>127</v>
      </c>
      <c r="AM18" s="88">
        <v>166</v>
      </c>
      <c r="AN18" s="88">
        <v>126</v>
      </c>
      <c r="AO18" s="88">
        <v>70</v>
      </c>
      <c r="AP18" s="88">
        <v>140</v>
      </c>
      <c r="AQ18" s="89">
        <v>48</v>
      </c>
      <c r="AR18" s="87">
        <v>-21</v>
      </c>
      <c r="AS18" s="88">
        <v>-65</v>
      </c>
      <c r="AT18" s="88">
        <v>79</v>
      </c>
      <c r="AU18" s="88">
        <v>24</v>
      </c>
      <c r="AV18" s="88">
        <v>38</v>
      </c>
      <c r="AW18" s="88">
        <v>128</v>
      </c>
      <c r="AX18" s="88">
        <v>131</v>
      </c>
      <c r="AY18" s="88">
        <v>86</v>
      </c>
      <c r="AZ18" s="88">
        <v>83</v>
      </c>
      <c r="BA18" s="89">
        <v>89</v>
      </c>
      <c r="BB18" s="30">
        <v>56</v>
      </c>
      <c r="BC18" s="31">
        <v>64</v>
      </c>
      <c r="BD18" s="31">
        <v>-69</v>
      </c>
      <c r="BE18" s="67">
        <v>-9</v>
      </c>
      <c r="BF18" s="67">
        <v>-62</v>
      </c>
      <c r="BG18" s="67">
        <v>-23</v>
      </c>
      <c r="BH18" s="88">
        <v>-64</v>
      </c>
      <c r="BI18" s="88">
        <v>-161</v>
      </c>
      <c r="BJ18" s="88">
        <v>-162</v>
      </c>
      <c r="BK18" s="89">
        <v>-222</v>
      </c>
      <c r="BL18" s="87">
        <v>-274</v>
      </c>
      <c r="BM18" s="88">
        <v>-482</v>
      </c>
      <c r="BN18" s="88">
        <v>-486</v>
      </c>
      <c r="BO18" s="5">
        <f>Births!BO18-Deaths!BO18</f>
        <v>-362</v>
      </c>
      <c r="BP18" s="5">
        <f>Births!BP18-Deaths!BP18</f>
        <v>-458</v>
      </c>
      <c r="BQ18" s="89">
        <f>Births!BQ18-Deaths!BQ18</f>
        <v>-475</v>
      </c>
    </row>
    <row r="19" spans="1:69" x14ac:dyDescent="0.2">
      <c r="A19" s="20" t="s">
        <v>29</v>
      </c>
      <c r="B19" s="21" t="s">
        <v>30</v>
      </c>
      <c r="C19" s="25" t="s">
        <v>2</v>
      </c>
      <c r="D19" s="87">
        <v>456</v>
      </c>
      <c r="E19" s="88">
        <v>496</v>
      </c>
      <c r="F19" s="88">
        <v>505</v>
      </c>
      <c r="G19" s="88">
        <v>473</v>
      </c>
      <c r="H19" s="88">
        <v>426</v>
      </c>
      <c r="I19" s="88">
        <v>324</v>
      </c>
      <c r="J19" s="88">
        <v>311</v>
      </c>
      <c r="K19" s="88">
        <v>417</v>
      </c>
      <c r="L19" s="88">
        <v>399</v>
      </c>
      <c r="M19" s="89">
        <v>441</v>
      </c>
      <c r="N19" s="87">
        <v>485</v>
      </c>
      <c r="O19" s="88">
        <v>359</v>
      </c>
      <c r="P19" s="88">
        <v>387</v>
      </c>
      <c r="Q19" s="88">
        <v>308</v>
      </c>
      <c r="R19" s="88">
        <v>450</v>
      </c>
      <c r="S19" s="88">
        <v>426</v>
      </c>
      <c r="T19" s="88">
        <v>404</v>
      </c>
      <c r="U19" s="88">
        <v>455</v>
      </c>
      <c r="V19" s="88">
        <v>498</v>
      </c>
      <c r="W19" s="89">
        <v>515</v>
      </c>
      <c r="X19" s="87">
        <v>462</v>
      </c>
      <c r="Y19" s="88">
        <v>533</v>
      </c>
      <c r="Z19" s="88">
        <v>473</v>
      </c>
      <c r="AA19" s="88">
        <v>539</v>
      </c>
      <c r="AB19" s="88">
        <v>528</v>
      </c>
      <c r="AC19" s="88">
        <v>516</v>
      </c>
      <c r="AD19" s="88">
        <v>466</v>
      </c>
      <c r="AE19" s="88">
        <v>520</v>
      </c>
      <c r="AF19" s="88">
        <v>535</v>
      </c>
      <c r="AG19" s="89">
        <v>580</v>
      </c>
      <c r="AH19" s="87">
        <v>632</v>
      </c>
      <c r="AI19" s="88">
        <v>604</v>
      </c>
      <c r="AJ19" s="88">
        <v>679</v>
      </c>
      <c r="AK19" s="88">
        <v>570</v>
      </c>
      <c r="AL19" s="88">
        <v>546</v>
      </c>
      <c r="AM19" s="88">
        <v>473</v>
      </c>
      <c r="AN19" s="88">
        <v>518</v>
      </c>
      <c r="AO19" s="88">
        <v>490</v>
      </c>
      <c r="AP19" s="88">
        <v>305</v>
      </c>
      <c r="AQ19" s="89">
        <v>430</v>
      </c>
      <c r="AR19" s="87">
        <v>394</v>
      </c>
      <c r="AS19" s="88">
        <v>353</v>
      </c>
      <c r="AT19" s="88">
        <v>362</v>
      </c>
      <c r="AU19" s="88">
        <v>338</v>
      </c>
      <c r="AV19" s="88">
        <v>405</v>
      </c>
      <c r="AW19" s="88">
        <v>383</v>
      </c>
      <c r="AX19" s="88">
        <v>339</v>
      </c>
      <c r="AY19" s="88">
        <v>384</v>
      </c>
      <c r="AZ19" s="88">
        <v>243</v>
      </c>
      <c r="BA19" s="89">
        <v>341</v>
      </c>
      <c r="BB19" s="30">
        <v>277</v>
      </c>
      <c r="BC19" s="31">
        <v>295</v>
      </c>
      <c r="BD19" s="31">
        <v>236</v>
      </c>
      <c r="BE19" s="67">
        <v>207</v>
      </c>
      <c r="BF19" s="67">
        <v>203</v>
      </c>
      <c r="BG19" s="67">
        <v>226</v>
      </c>
      <c r="BH19" s="88">
        <v>179</v>
      </c>
      <c r="BI19" s="88">
        <v>136</v>
      </c>
      <c r="BJ19" s="88">
        <v>77</v>
      </c>
      <c r="BK19" s="89">
        <v>69</v>
      </c>
      <c r="BL19" s="87">
        <v>-116</v>
      </c>
      <c r="BM19" s="88">
        <v>-110</v>
      </c>
      <c r="BN19" s="88">
        <v>-181</v>
      </c>
      <c r="BO19" s="5">
        <f>Births!BO19-Deaths!BO19</f>
        <v>-134</v>
      </c>
      <c r="BP19" s="5">
        <f>Births!BP19-Deaths!BP19</f>
        <v>-104</v>
      </c>
      <c r="BQ19" s="89">
        <f>Births!BQ19-Deaths!BQ19</f>
        <v>-113</v>
      </c>
    </row>
    <row r="20" spans="1:69" x14ac:dyDescent="0.2">
      <c r="A20" s="20" t="s">
        <v>31</v>
      </c>
      <c r="B20" s="21" t="s">
        <v>32</v>
      </c>
      <c r="C20" s="25" t="s">
        <v>2</v>
      </c>
      <c r="D20" s="87">
        <v>93</v>
      </c>
      <c r="E20" s="88">
        <v>110</v>
      </c>
      <c r="F20" s="88">
        <v>76</v>
      </c>
      <c r="G20" s="88">
        <v>60</v>
      </c>
      <c r="H20" s="88">
        <v>53</v>
      </c>
      <c r="I20" s="88">
        <v>60</v>
      </c>
      <c r="J20" s="88">
        <v>28</v>
      </c>
      <c r="K20" s="88">
        <v>36</v>
      </c>
      <c r="L20" s="88">
        <v>30</v>
      </c>
      <c r="M20" s="89">
        <v>38</v>
      </c>
      <c r="N20" s="87">
        <v>21</v>
      </c>
      <c r="O20" s="88">
        <v>-6</v>
      </c>
      <c r="P20" s="88">
        <v>13</v>
      </c>
      <c r="Q20" s="88">
        <v>25</v>
      </c>
      <c r="R20" s="88">
        <v>14</v>
      </c>
      <c r="S20" s="88">
        <v>-12</v>
      </c>
      <c r="T20" s="88">
        <v>62</v>
      </c>
      <c r="U20" s="88">
        <v>63</v>
      </c>
      <c r="V20" s="88">
        <v>89</v>
      </c>
      <c r="W20" s="89">
        <v>80</v>
      </c>
      <c r="X20" s="87">
        <v>87</v>
      </c>
      <c r="Y20" s="88">
        <v>102</v>
      </c>
      <c r="Z20" s="88">
        <v>31</v>
      </c>
      <c r="AA20" s="88">
        <v>72</v>
      </c>
      <c r="AB20" s="88">
        <v>54</v>
      </c>
      <c r="AC20" s="88">
        <v>56</v>
      </c>
      <c r="AD20" s="88">
        <v>15</v>
      </c>
      <c r="AE20" s="88">
        <v>49</v>
      </c>
      <c r="AF20" s="88">
        <v>-4</v>
      </c>
      <c r="AG20" s="89">
        <v>-18</v>
      </c>
      <c r="AH20" s="87">
        <v>14</v>
      </c>
      <c r="AI20" s="88">
        <v>65</v>
      </c>
      <c r="AJ20" s="88">
        <v>28</v>
      </c>
      <c r="AK20" s="88">
        <v>-2</v>
      </c>
      <c r="AL20" s="88">
        <v>-37</v>
      </c>
      <c r="AM20" s="88">
        <v>-49</v>
      </c>
      <c r="AN20" s="88">
        <v>-52</v>
      </c>
      <c r="AO20" s="88">
        <v>-33</v>
      </c>
      <c r="AP20" s="88">
        <v>-99</v>
      </c>
      <c r="AQ20" s="89">
        <v>-62</v>
      </c>
      <c r="AR20" s="87">
        <v>-59</v>
      </c>
      <c r="AS20" s="88">
        <v>-47</v>
      </c>
      <c r="AT20" s="88">
        <v>-96</v>
      </c>
      <c r="AU20" s="88">
        <v>-81</v>
      </c>
      <c r="AV20" s="88">
        <v>-100</v>
      </c>
      <c r="AW20" s="88">
        <v>-83</v>
      </c>
      <c r="AX20" s="88">
        <v>-86</v>
      </c>
      <c r="AY20" s="88">
        <v>-101</v>
      </c>
      <c r="AZ20" s="88">
        <v>-148</v>
      </c>
      <c r="BA20" s="89">
        <v>-111</v>
      </c>
      <c r="BB20" s="30">
        <v>-160</v>
      </c>
      <c r="BC20" s="31">
        <v>-145</v>
      </c>
      <c r="BD20" s="31">
        <v>-129</v>
      </c>
      <c r="BE20" s="67">
        <v>-127</v>
      </c>
      <c r="BF20" s="67">
        <v>-167</v>
      </c>
      <c r="BG20" s="67">
        <v>-193</v>
      </c>
      <c r="BH20" s="88">
        <v>-180</v>
      </c>
      <c r="BI20" s="88">
        <v>-215</v>
      </c>
      <c r="BJ20" s="88">
        <v>-214</v>
      </c>
      <c r="BK20" s="89">
        <v>-223</v>
      </c>
      <c r="BL20" s="87">
        <v>-282</v>
      </c>
      <c r="BM20" s="88">
        <v>-278</v>
      </c>
      <c r="BN20" s="88">
        <v>-283</v>
      </c>
      <c r="BO20" s="5">
        <f>Births!BO20-Deaths!BO20</f>
        <v>-323</v>
      </c>
      <c r="BP20" s="5">
        <f>Births!BP20-Deaths!BP20</f>
        <v>-326</v>
      </c>
      <c r="BQ20" s="89">
        <f>Births!BQ20-Deaths!BQ20</f>
        <v>-307</v>
      </c>
    </row>
    <row r="21" spans="1:69" x14ac:dyDescent="0.2">
      <c r="A21" s="20" t="s">
        <v>33</v>
      </c>
      <c r="B21" s="21" t="s">
        <v>34</v>
      </c>
      <c r="C21" s="25" t="s">
        <v>2</v>
      </c>
      <c r="D21" s="87">
        <v>12778</v>
      </c>
      <c r="E21" s="88">
        <v>12525</v>
      </c>
      <c r="F21" s="88">
        <v>12559</v>
      </c>
      <c r="G21" s="88">
        <v>10909</v>
      </c>
      <c r="H21" s="88">
        <v>8984</v>
      </c>
      <c r="I21" s="88">
        <v>7732</v>
      </c>
      <c r="J21" s="88">
        <v>8870</v>
      </c>
      <c r="K21" s="88">
        <v>9295</v>
      </c>
      <c r="L21" s="88">
        <v>10263</v>
      </c>
      <c r="M21" s="89">
        <v>10746</v>
      </c>
      <c r="N21" s="87">
        <v>9258</v>
      </c>
      <c r="O21" s="88">
        <v>5910</v>
      </c>
      <c r="P21" s="88">
        <v>3956</v>
      </c>
      <c r="Q21" s="88">
        <v>3912</v>
      </c>
      <c r="R21" s="88">
        <v>3945</v>
      </c>
      <c r="S21" s="88">
        <v>4086</v>
      </c>
      <c r="T21" s="88">
        <v>4988</v>
      </c>
      <c r="U21" s="88">
        <v>5378</v>
      </c>
      <c r="V21" s="88">
        <v>6262</v>
      </c>
      <c r="W21" s="89">
        <v>7174</v>
      </c>
      <c r="X21" s="87">
        <v>8173</v>
      </c>
      <c r="Y21" s="88">
        <v>9319</v>
      </c>
      <c r="Z21" s="88">
        <v>9160</v>
      </c>
      <c r="AA21" s="88">
        <v>8457</v>
      </c>
      <c r="AB21" s="88">
        <v>9049</v>
      </c>
      <c r="AC21" s="88">
        <v>9830</v>
      </c>
      <c r="AD21" s="88">
        <v>9721</v>
      </c>
      <c r="AE21" s="88">
        <v>10232</v>
      </c>
      <c r="AF21" s="88">
        <v>11179</v>
      </c>
      <c r="AG21" s="89">
        <v>12049</v>
      </c>
      <c r="AH21" s="87">
        <v>12483</v>
      </c>
      <c r="AI21" s="88">
        <v>12514</v>
      </c>
      <c r="AJ21" s="88">
        <v>11518</v>
      </c>
      <c r="AK21" s="88">
        <v>11051</v>
      </c>
      <c r="AL21" s="88">
        <v>10717</v>
      </c>
      <c r="AM21" s="88">
        <v>10315</v>
      </c>
      <c r="AN21" s="88">
        <v>9726</v>
      </c>
      <c r="AO21" s="88">
        <v>10593</v>
      </c>
      <c r="AP21" s="88">
        <v>10603</v>
      </c>
      <c r="AQ21" s="89">
        <v>10206</v>
      </c>
      <c r="AR21" s="87">
        <v>10809</v>
      </c>
      <c r="AS21" s="88">
        <v>10287</v>
      </c>
      <c r="AT21" s="88">
        <v>10515</v>
      </c>
      <c r="AU21" s="88">
        <v>10876</v>
      </c>
      <c r="AV21" s="88">
        <v>11516</v>
      </c>
      <c r="AW21" s="88">
        <v>11553</v>
      </c>
      <c r="AX21" s="88">
        <v>12985</v>
      </c>
      <c r="AY21" s="88">
        <v>13091</v>
      </c>
      <c r="AZ21" s="88">
        <v>13461</v>
      </c>
      <c r="BA21" s="89">
        <v>13576</v>
      </c>
      <c r="BB21" s="30">
        <v>12476</v>
      </c>
      <c r="BC21" s="31">
        <v>12673</v>
      </c>
      <c r="BD21" s="31">
        <v>12660</v>
      </c>
      <c r="BE21" s="67">
        <v>12684</v>
      </c>
      <c r="BF21" s="67">
        <v>12578</v>
      </c>
      <c r="BG21" s="67">
        <v>12939</v>
      </c>
      <c r="BH21" s="88">
        <v>12258</v>
      </c>
      <c r="BI21" s="88">
        <v>12139</v>
      </c>
      <c r="BJ21" s="88">
        <v>11046</v>
      </c>
      <c r="BK21" s="89">
        <v>10544</v>
      </c>
      <c r="BL21" s="87">
        <v>8631</v>
      </c>
      <c r="BM21" s="88">
        <v>8226</v>
      </c>
      <c r="BN21" s="88">
        <v>7177</v>
      </c>
      <c r="BO21" s="5">
        <f>Births!BO21-Deaths!BO21</f>
        <v>7329</v>
      </c>
      <c r="BP21" s="5">
        <f>Births!BP21-Deaths!BP21</f>
        <v>7924</v>
      </c>
      <c r="BQ21" s="89">
        <f>Births!BQ21-Deaths!BQ21</f>
        <v>8164</v>
      </c>
    </row>
    <row r="22" spans="1:69" x14ac:dyDescent="0.2">
      <c r="A22" s="20" t="s">
        <v>36</v>
      </c>
      <c r="B22" s="21" t="s">
        <v>37</v>
      </c>
      <c r="C22" s="25"/>
      <c r="D22" s="87">
        <v>989</v>
      </c>
      <c r="E22" s="88">
        <v>897</v>
      </c>
      <c r="F22" s="88">
        <v>884</v>
      </c>
      <c r="G22" s="88">
        <v>766</v>
      </c>
      <c r="H22" s="88">
        <v>773</v>
      </c>
      <c r="I22" s="88">
        <v>660</v>
      </c>
      <c r="J22" s="88">
        <v>531</v>
      </c>
      <c r="K22" s="88">
        <v>652</v>
      </c>
      <c r="L22" s="88">
        <v>699</v>
      </c>
      <c r="M22" s="89">
        <v>894</v>
      </c>
      <c r="N22" s="87">
        <v>979</v>
      </c>
      <c r="O22" s="88">
        <v>680</v>
      </c>
      <c r="P22" s="88">
        <v>594</v>
      </c>
      <c r="Q22" s="88">
        <v>599</v>
      </c>
      <c r="R22" s="88">
        <v>699</v>
      </c>
      <c r="S22" s="88">
        <v>821</v>
      </c>
      <c r="T22" s="88">
        <v>919</v>
      </c>
      <c r="U22" s="88">
        <v>1168</v>
      </c>
      <c r="V22" s="88">
        <v>1199</v>
      </c>
      <c r="W22" s="89">
        <v>1335</v>
      </c>
      <c r="X22" s="87">
        <v>1501</v>
      </c>
      <c r="Y22" s="88">
        <v>1673</v>
      </c>
      <c r="Z22" s="88">
        <v>1581</v>
      </c>
      <c r="AA22" s="88">
        <v>1755</v>
      </c>
      <c r="AB22" s="88">
        <v>1643</v>
      </c>
      <c r="AC22" s="88">
        <v>1741</v>
      </c>
      <c r="AD22" s="88">
        <v>1615</v>
      </c>
      <c r="AE22" s="88">
        <v>1610</v>
      </c>
      <c r="AF22" s="88">
        <v>1649</v>
      </c>
      <c r="AG22" s="89">
        <v>1865</v>
      </c>
      <c r="AH22" s="87">
        <v>2092</v>
      </c>
      <c r="AI22" s="88">
        <v>2114</v>
      </c>
      <c r="AJ22" s="88">
        <v>2138</v>
      </c>
      <c r="AK22" s="88">
        <v>1803</v>
      </c>
      <c r="AL22" s="88">
        <v>1934</v>
      </c>
      <c r="AM22" s="88">
        <v>1781</v>
      </c>
      <c r="AN22" s="88">
        <v>1689</v>
      </c>
      <c r="AO22" s="88">
        <v>1630</v>
      </c>
      <c r="AP22" s="88">
        <v>1284</v>
      </c>
      <c r="AQ22" s="89">
        <v>1342</v>
      </c>
      <c r="AR22" s="87">
        <v>1275</v>
      </c>
      <c r="AS22" s="88">
        <v>1124</v>
      </c>
      <c r="AT22" s="88">
        <v>1224</v>
      </c>
      <c r="AU22" s="88">
        <v>1106</v>
      </c>
      <c r="AV22" s="88">
        <v>1216</v>
      </c>
      <c r="AW22" s="88">
        <v>1216</v>
      </c>
      <c r="AX22" s="88">
        <v>1219</v>
      </c>
      <c r="AY22" s="88">
        <v>966</v>
      </c>
      <c r="AZ22" s="88">
        <v>1187</v>
      </c>
      <c r="BA22" s="89">
        <v>905</v>
      </c>
      <c r="BB22" s="30">
        <v>989</v>
      </c>
      <c r="BC22" s="31">
        <v>1030</v>
      </c>
      <c r="BD22" s="31">
        <v>993</v>
      </c>
      <c r="BE22" s="67">
        <v>829</v>
      </c>
      <c r="BF22" s="67">
        <v>850</v>
      </c>
      <c r="BG22" s="67">
        <v>923</v>
      </c>
      <c r="BH22" s="88">
        <v>870</v>
      </c>
      <c r="BI22" s="88">
        <v>784</v>
      </c>
      <c r="BJ22" s="88">
        <v>760</v>
      </c>
      <c r="BK22" s="89">
        <v>602</v>
      </c>
      <c r="BL22" s="87">
        <v>286</v>
      </c>
      <c r="BM22" s="88">
        <v>65</v>
      </c>
      <c r="BN22" s="88">
        <v>375</v>
      </c>
      <c r="BO22" s="5">
        <f>Births!BO22-Deaths!BO22</f>
        <v>130</v>
      </c>
      <c r="BP22" s="5">
        <f>Births!BP22-Deaths!BP22</f>
        <v>132</v>
      </c>
      <c r="BQ22" s="89">
        <f>Births!BQ22-Deaths!BQ22</f>
        <v>366</v>
      </c>
    </row>
    <row r="23" spans="1:69" x14ac:dyDescent="0.2">
      <c r="A23" s="20" t="s">
        <v>38</v>
      </c>
      <c r="B23" s="21" t="s">
        <v>39</v>
      </c>
      <c r="C23" s="25" t="s">
        <v>2</v>
      </c>
      <c r="D23" s="87">
        <v>223</v>
      </c>
      <c r="E23" s="88">
        <v>250</v>
      </c>
      <c r="F23" s="88">
        <v>190</v>
      </c>
      <c r="G23" s="88">
        <v>164</v>
      </c>
      <c r="H23" s="88">
        <v>91</v>
      </c>
      <c r="I23" s="88">
        <v>86</v>
      </c>
      <c r="J23" s="88">
        <v>128</v>
      </c>
      <c r="K23" s="88">
        <v>114</v>
      </c>
      <c r="L23" s="88">
        <v>194</v>
      </c>
      <c r="M23" s="89">
        <v>125</v>
      </c>
      <c r="N23" s="87">
        <v>211</v>
      </c>
      <c r="O23" s="88">
        <v>139</v>
      </c>
      <c r="P23" s="88">
        <v>87</v>
      </c>
      <c r="Q23" s="88">
        <v>81</v>
      </c>
      <c r="R23" s="88">
        <v>73</v>
      </c>
      <c r="S23" s="88">
        <v>106</v>
      </c>
      <c r="T23" s="88">
        <v>112</v>
      </c>
      <c r="U23" s="88">
        <v>110</v>
      </c>
      <c r="V23" s="88">
        <v>108</v>
      </c>
      <c r="W23" s="89">
        <v>98</v>
      </c>
      <c r="X23" s="87">
        <v>117</v>
      </c>
      <c r="Y23" s="88">
        <v>139</v>
      </c>
      <c r="Z23" s="88">
        <v>192</v>
      </c>
      <c r="AA23" s="88">
        <v>98</v>
      </c>
      <c r="AB23" s="88">
        <v>107</v>
      </c>
      <c r="AC23" s="88">
        <v>77</v>
      </c>
      <c r="AD23" s="88">
        <v>55</v>
      </c>
      <c r="AE23" s="88">
        <v>90</v>
      </c>
      <c r="AF23" s="88">
        <v>116</v>
      </c>
      <c r="AG23" s="89">
        <v>111</v>
      </c>
      <c r="AH23" s="87">
        <v>116</v>
      </c>
      <c r="AI23" s="88">
        <v>107</v>
      </c>
      <c r="AJ23" s="88">
        <v>89</v>
      </c>
      <c r="AK23" s="88">
        <v>78</v>
      </c>
      <c r="AL23" s="88">
        <v>86</v>
      </c>
      <c r="AM23" s="88">
        <v>84</v>
      </c>
      <c r="AN23" s="88">
        <v>70</v>
      </c>
      <c r="AO23" s="88">
        <v>117</v>
      </c>
      <c r="AP23" s="88">
        <v>73</v>
      </c>
      <c r="AQ23" s="89">
        <v>136</v>
      </c>
      <c r="AR23" s="87">
        <v>147</v>
      </c>
      <c r="AS23" s="88">
        <v>80</v>
      </c>
      <c r="AT23" s="88">
        <v>97</v>
      </c>
      <c r="AU23" s="88">
        <v>122</v>
      </c>
      <c r="AV23" s="88">
        <v>122</v>
      </c>
      <c r="AW23" s="88">
        <v>77</v>
      </c>
      <c r="AX23" s="88">
        <v>126</v>
      </c>
      <c r="AY23" s="88">
        <v>161</v>
      </c>
      <c r="AZ23" s="88">
        <v>109</v>
      </c>
      <c r="BA23" s="89">
        <v>166</v>
      </c>
      <c r="BB23" s="30">
        <v>145</v>
      </c>
      <c r="BC23" s="31">
        <v>129</v>
      </c>
      <c r="BD23" s="31">
        <v>129</v>
      </c>
      <c r="BE23" s="67">
        <v>99</v>
      </c>
      <c r="BF23" s="67">
        <v>119</v>
      </c>
      <c r="BG23" s="67">
        <v>95</v>
      </c>
      <c r="BH23" s="88">
        <v>101</v>
      </c>
      <c r="BI23" s="88">
        <v>118</v>
      </c>
      <c r="BJ23" s="88">
        <v>80</v>
      </c>
      <c r="BK23" s="89">
        <v>54</v>
      </c>
      <c r="BL23" s="87">
        <v>1</v>
      </c>
      <c r="BM23" s="88">
        <v>6</v>
      </c>
      <c r="BN23" s="88">
        <v>27</v>
      </c>
      <c r="BO23" s="5">
        <f>Births!BO23-Deaths!BO23</f>
        <v>-18</v>
      </c>
      <c r="BP23" s="5">
        <f>Births!BP23-Deaths!BP23</f>
        <v>14</v>
      </c>
      <c r="BQ23" s="89">
        <f>Births!BQ23-Deaths!BQ23</f>
        <v>61</v>
      </c>
    </row>
    <row r="24" spans="1:69" x14ac:dyDescent="0.2">
      <c r="A24" s="20" t="s">
        <v>40</v>
      </c>
      <c r="B24" s="21" t="s">
        <v>41</v>
      </c>
      <c r="C24" s="25" t="s">
        <v>2</v>
      </c>
      <c r="D24" s="87">
        <v>213</v>
      </c>
      <c r="E24" s="88">
        <v>180</v>
      </c>
      <c r="F24" s="88">
        <v>158</v>
      </c>
      <c r="G24" s="88">
        <v>146</v>
      </c>
      <c r="H24" s="88">
        <v>125</v>
      </c>
      <c r="I24" s="88">
        <v>126</v>
      </c>
      <c r="J24" s="88">
        <v>95</v>
      </c>
      <c r="K24" s="88">
        <v>55</v>
      </c>
      <c r="L24" s="88">
        <v>58</v>
      </c>
      <c r="M24" s="89">
        <v>75</v>
      </c>
      <c r="N24" s="87">
        <v>45</v>
      </c>
      <c r="O24" s="88">
        <v>74</v>
      </c>
      <c r="P24" s="88">
        <v>96</v>
      </c>
      <c r="Q24" s="88">
        <v>88</v>
      </c>
      <c r="R24" s="88">
        <v>80</v>
      </c>
      <c r="S24" s="88">
        <v>120</v>
      </c>
      <c r="T24" s="88">
        <v>132</v>
      </c>
      <c r="U24" s="88">
        <v>107</v>
      </c>
      <c r="V24" s="88">
        <v>141</v>
      </c>
      <c r="W24" s="89">
        <v>137</v>
      </c>
      <c r="X24" s="87">
        <v>111</v>
      </c>
      <c r="Y24" s="88">
        <v>176</v>
      </c>
      <c r="Z24" s="88">
        <v>114</v>
      </c>
      <c r="AA24" s="88">
        <v>139</v>
      </c>
      <c r="AB24" s="88">
        <v>136</v>
      </c>
      <c r="AC24" s="88">
        <v>115</v>
      </c>
      <c r="AD24" s="88">
        <v>102</v>
      </c>
      <c r="AE24" s="88">
        <v>60</v>
      </c>
      <c r="AF24" s="88">
        <v>74</v>
      </c>
      <c r="AG24" s="89">
        <v>73</v>
      </c>
      <c r="AH24" s="87">
        <v>89</v>
      </c>
      <c r="AI24" s="88">
        <v>103</v>
      </c>
      <c r="AJ24" s="88">
        <v>74</v>
      </c>
      <c r="AK24" s="88">
        <v>71</v>
      </c>
      <c r="AL24" s="88">
        <v>62</v>
      </c>
      <c r="AM24" s="88">
        <v>84</v>
      </c>
      <c r="AN24" s="88">
        <v>70</v>
      </c>
      <c r="AO24" s="88">
        <v>96</v>
      </c>
      <c r="AP24" s="88">
        <v>98</v>
      </c>
      <c r="AQ24" s="89">
        <v>47</v>
      </c>
      <c r="AR24" s="87">
        <v>82</v>
      </c>
      <c r="AS24" s="88">
        <v>42</v>
      </c>
      <c r="AT24" s="88">
        <v>86</v>
      </c>
      <c r="AU24" s="88">
        <v>62</v>
      </c>
      <c r="AV24" s="88">
        <v>39</v>
      </c>
      <c r="AW24" s="88">
        <v>52</v>
      </c>
      <c r="AX24" s="88">
        <v>50</v>
      </c>
      <c r="AY24" s="88">
        <v>45</v>
      </c>
      <c r="AZ24" s="88">
        <v>51</v>
      </c>
      <c r="BA24" s="89">
        <v>45</v>
      </c>
      <c r="BB24" s="30">
        <v>77</v>
      </c>
      <c r="BC24" s="31">
        <v>3</v>
      </c>
      <c r="BD24" s="31">
        <v>47</v>
      </c>
      <c r="BE24" s="67">
        <v>16</v>
      </c>
      <c r="BF24" s="67">
        <v>30</v>
      </c>
      <c r="BG24" s="67">
        <v>59</v>
      </c>
      <c r="BH24" s="88">
        <v>-32</v>
      </c>
      <c r="BI24" s="88">
        <v>21</v>
      </c>
      <c r="BJ24" s="88">
        <v>-3</v>
      </c>
      <c r="BK24" s="89">
        <v>-8</v>
      </c>
      <c r="BL24" s="87">
        <v>-40</v>
      </c>
      <c r="BM24" s="88">
        <v>-86</v>
      </c>
      <c r="BN24" s="88">
        <v>-46</v>
      </c>
      <c r="BO24" s="5">
        <f>Births!BO24-Deaths!BO24</f>
        <v>-47</v>
      </c>
      <c r="BP24" s="5">
        <f>Births!BP24-Deaths!BP24</f>
        <v>-21</v>
      </c>
      <c r="BQ24" s="89">
        <f>Births!BQ24-Deaths!BQ24</f>
        <v>29</v>
      </c>
    </row>
    <row r="25" spans="1:69" x14ac:dyDescent="0.2">
      <c r="A25" s="20" t="s">
        <v>42</v>
      </c>
      <c r="B25" s="21" t="s">
        <v>43</v>
      </c>
      <c r="C25" s="25" t="s">
        <v>2</v>
      </c>
      <c r="D25" s="87">
        <v>315</v>
      </c>
      <c r="E25" s="88">
        <v>296</v>
      </c>
      <c r="F25" s="88">
        <v>287</v>
      </c>
      <c r="G25" s="88">
        <v>156</v>
      </c>
      <c r="H25" s="88">
        <v>151</v>
      </c>
      <c r="I25" s="88">
        <v>190</v>
      </c>
      <c r="J25" s="88">
        <v>212</v>
      </c>
      <c r="K25" s="88">
        <v>114</v>
      </c>
      <c r="L25" s="88">
        <v>202</v>
      </c>
      <c r="M25" s="89">
        <v>175</v>
      </c>
      <c r="N25" s="87">
        <v>209</v>
      </c>
      <c r="O25" s="88">
        <v>210</v>
      </c>
      <c r="P25" s="88">
        <v>202</v>
      </c>
      <c r="Q25" s="88">
        <v>219</v>
      </c>
      <c r="R25" s="88">
        <v>205</v>
      </c>
      <c r="S25" s="88">
        <v>279</v>
      </c>
      <c r="T25" s="88">
        <v>340</v>
      </c>
      <c r="U25" s="88">
        <v>371</v>
      </c>
      <c r="V25" s="88">
        <v>407</v>
      </c>
      <c r="W25" s="89">
        <v>486</v>
      </c>
      <c r="X25" s="87">
        <v>461</v>
      </c>
      <c r="Y25" s="88">
        <v>445</v>
      </c>
      <c r="Z25" s="88">
        <v>403</v>
      </c>
      <c r="AA25" s="88">
        <v>410</v>
      </c>
      <c r="AB25" s="88">
        <v>279</v>
      </c>
      <c r="AC25" s="88">
        <v>218</v>
      </c>
      <c r="AD25" s="88">
        <v>282</v>
      </c>
      <c r="AE25" s="88">
        <v>313</v>
      </c>
      <c r="AF25" s="88">
        <v>222</v>
      </c>
      <c r="AG25" s="89">
        <v>244</v>
      </c>
      <c r="AH25" s="87">
        <v>261</v>
      </c>
      <c r="AI25" s="88">
        <v>275</v>
      </c>
      <c r="AJ25" s="88">
        <v>174</v>
      </c>
      <c r="AK25" s="88">
        <v>153</v>
      </c>
      <c r="AL25" s="88">
        <v>202</v>
      </c>
      <c r="AM25" s="88">
        <v>164</v>
      </c>
      <c r="AN25" s="88">
        <v>190</v>
      </c>
      <c r="AO25" s="88">
        <v>150</v>
      </c>
      <c r="AP25" s="88">
        <v>190</v>
      </c>
      <c r="AQ25" s="89">
        <v>179</v>
      </c>
      <c r="AR25" s="87">
        <v>131</v>
      </c>
      <c r="AS25" s="88">
        <v>71</v>
      </c>
      <c r="AT25" s="88">
        <v>179</v>
      </c>
      <c r="AU25" s="88">
        <v>-8</v>
      </c>
      <c r="AV25" s="88">
        <v>84</v>
      </c>
      <c r="AW25" s="88">
        <v>117</v>
      </c>
      <c r="AX25" s="88">
        <v>240</v>
      </c>
      <c r="AY25" s="88">
        <v>185</v>
      </c>
      <c r="AZ25" s="88">
        <v>290</v>
      </c>
      <c r="BA25" s="89">
        <v>153</v>
      </c>
      <c r="BB25" s="30">
        <v>122</v>
      </c>
      <c r="BC25" s="31">
        <v>44</v>
      </c>
      <c r="BD25" s="31">
        <v>18</v>
      </c>
      <c r="BE25" s="67">
        <v>47</v>
      </c>
      <c r="BF25" s="67">
        <v>50</v>
      </c>
      <c r="BG25" s="67">
        <v>22</v>
      </c>
      <c r="BH25" s="88">
        <v>55</v>
      </c>
      <c r="BI25" s="88">
        <v>-67</v>
      </c>
      <c r="BJ25" s="88">
        <v>-53</v>
      </c>
      <c r="BK25" s="89">
        <v>25</v>
      </c>
      <c r="BL25" s="87">
        <v>-176</v>
      </c>
      <c r="BM25" s="88">
        <v>-271</v>
      </c>
      <c r="BN25" s="88">
        <v>-139</v>
      </c>
      <c r="BO25" s="5">
        <f>Births!BO25-Deaths!BO25</f>
        <v>-141</v>
      </c>
      <c r="BP25" s="5">
        <f>Births!BP25-Deaths!BP25</f>
        <v>-59</v>
      </c>
      <c r="BQ25" s="89">
        <f>Births!BQ25-Deaths!BQ25</f>
        <v>-77</v>
      </c>
    </row>
    <row r="26" spans="1:69" x14ac:dyDescent="0.2">
      <c r="A26" s="20" t="s">
        <v>44</v>
      </c>
      <c r="B26" s="21" t="s">
        <v>45</v>
      </c>
      <c r="C26" s="25" t="s">
        <v>2</v>
      </c>
      <c r="D26" s="87">
        <v>101</v>
      </c>
      <c r="E26" s="88">
        <v>115</v>
      </c>
      <c r="F26" s="88">
        <v>64</v>
      </c>
      <c r="G26" s="88">
        <v>69</v>
      </c>
      <c r="H26" s="88">
        <v>47</v>
      </c>
      <c r="I26" s="88">
        <v>24</v>
      </c>
      <c r="J26" s="88">
        <v>8</v>
      </c>
      <c r="K26" s="88">
        <v>23</v>
      </c>
      <c r="L26" s="88">
        <v>20</v>
      </c>
      <c r="M26" s="89">
        <v>0</v>
      </c>
      <c r="N26" s="87">
        <v>3</v>
      </c>
      <c r="O26" s="88">
        <v>21</v>
      </c>
      <c r="P26" s="88">
        <v>-4</v>
      </c>
      <c r="Q26" s="88">
        <v>-10</v>
      </c>
      <c r="R26" s="88">
        <v>17</v>
      </c>
      <c r="S26" s="88">
        <v>24</v>
      </c>
      <c r="T26" s="88">
        <v>33</v>
      </c>
      <c r="U26" s="88">
        <v>12</v>
      </c>
      <c r="V26" s="88">
        <v>12</v>
      </c>
      <c r="W26" s="89">
        <v>60</v>
      </c>
      <c r="X26" s="87">
        <v>26</v>
      </c>
      <c r="Y26" s="88">
        <v>27</v>
      </c>
      <c r="Z26" s="88">
        <v>34</v>
      </c>
      <c r="AA26" s="88">
        <v>29</v>
      </c>
      <c r="AB26" s="88">
        <v>11</v>
      </c>
      <c r="AC26" s="88">
        <v>38</v>
      </c>
      <c r="AD26" s="88">
        <v>6</v>
      </c>
      <c r="AE26" s="88">
        <v>-5</v>
      </c>
      <c r="AF26" s="88">
        <v>-37</v>
      </c>
      <c r="AG26" s="89">
        <v>3</v>
      </c>
      <c r="AH26" s="87">
        <v>-13</v>
      </c>
      <c r="AI26" s="88">
        <v>1</v>
      </c>
      <c r="AJ26" s="88">
        <v>-14</v>
      </c>
      <c r="AK26" s="88">
        <v>27</v>
      </c>
      <c r="AL26" s="88">
        <v>-18</v>
      </c>
      <c r="AM26" s="88">
        <v>-19</v>
      </c>
      <c r="AN26" s="88">
        <v>-6</v>
      </c>
      <c r="AO26" s="88">
        <v>14</v>
      </c>
      <c r="AP26" s="88">
        <v>-7</v>
      </c>
      <c r="AQ26" s="89">
        <v>-10</v>
      </c>
      <c r="AR26" s="87">
        <v>-19</v>
      </c>
      <c r="AS26" s="88">
        <v>-21</v>
      </c>
      <c r="AT26" s="88">
        <v>-16</v>
      </c>
      <c r="AU26" s="88">
        <v>-15</v>
      </c>
      <c r="AV26" s="88">
        <v>-12</v>
      </c>
      <c r="AW26" s="88">
        <v>-36</v>
      </c>
      <c r="AX26" s="88">
        <v>11</v>
      </c>
      <c r="AY26" s="88">
        <v>-9</v>
      </c>
      <c r="AZ26" s="88">
        <v>-35</v>
      </c>
      <c r="BA26" s="89">
        <v>-25</v>
      </c>
      <c r="BB26" s="30">
        <v>-23</v>
      </c>
      <c r="BC26" s="31">
        <v>-17</v>
      </c>
      <c r="BD26" s="31">
        <v>-15</v>
      </c>
      <c r="BE26" s="67">
        <v>-16</v>
      </c>
      <c r="BF26" s="67">
        <v>4</v>
      </c>
      <c r="BG26" s="67">
        <v>0</v>
      </c>
      <c r="BH26" s="88">
        <v>-24</v>
      </c>
      <c r="BI26" s="88">
        <v>-13</v>
      </c>
      <c r="BJ26" s="88">
        <v>-17</v>
      </c>
      <c r="BK26" s="89">
        <v>-31</v>
      </c>
      <c r="BL26" s="87">
        <v>-15</v>
      </c>
      <c r="BM26" s="88">
        <v>-45</v>
      </c>
      <c r="BN26" s="88">
        <v>-37</v>
      </c>
      <c r="BO26" s="5">
        <f>Births!BO26-Deaths!BO26</f>
        <v>-26</v>
      </c>
      <c r="BP26" s="5">
        <f>Births!BP26-Deaths!BP26</f>
        <v>-14</v>
      </c>
      <c r="BQ26" s="89">
        <f>Births!BQ26-Deaths!BQ26</f>
        <v>2</v>
      </c>
    </row>
    <row r="27" spans="1:69" x14ac:dyDescent="0.2">
      <c r="A27" s="20" t="s">
        <v>46</v>
      </c>
      <c r="B27" s="21" t="s">
        <v>47</v>
      </c>
      <c r="C27" s="25"/>
      <c r="D27" s="87">
        <v>196</v>
      </c>
      <c r="E27" s="88">
        <v>129</v>
      </c>
      <c r="F27" s="88">
        <v>139</v>
      </c>
      <c r="G27" s="88">
        <v>117</v>
      </c>
      <c r="H27" s="88">
        <v>135</v>
      </c>
      <c r="I27" s="88">
        <v>129</v>
      </c>
      <c r="J27" s="88">
        <v>70</v>
      </c>
      <c r="K27" s="88">
        <v>97</v>
      </c>
      <c r="L27" s="88">
        <v>81</v>
      </c>
      <c r="M27" s="89">
        <v>146</v>
      </c>
      <c r="N27" s="87">
        <v>112</v>
      </c>
      <c r="O27" s="88">
        <v>71</v>
      </c>
      <c r="P27" s="88">
        <v>110</v>
      </c>
      <c r="Q27" s="88">
        <v>92</v>
      </c>
      <c r="R27" s="88">
        <v>86</v>
      </c>
      <c r="S27" s="88">
        <v>70</v>
      </c>
      <c r="T27" s="88">
        <v>121</v>
      </c>
      <c r="U27" s="88">
        <v>130</v>
      </c>
      <c r="V27" s="88">
        <v>216</v>
      </c>
      <c r="W27" s="89">
        <v>284</v>
      </c>
      <c r="X27" s="87">
        <v>232</v>
      </c>
      <c r="Y27" s="88">
        <v>251</v>
      </c>
      <c r="Z27" s="88">
        <v>195</v>
      </c>
      <c r="AA27" s="88">
        <v>210</v>
      </c>
      <c r="AB27" s="88">
        <v>236</v>
      </c>
      <c r="AC27" s="88">
        <v>176</v>
      </c>
      <c r="AD27" s="88">
        <v>111</v>
      </c>
      <c r="AE27" s="88">
        <v>136</v>
      </c>
      <c r="AF27" s="88">
        <v>121</v>
      </c>
      <c r="AG27" s="89">
        <v>120</v>
      </c>
      <c r="AH27" s="87">
        <v>172</v>
      </c>
      <c r="AI27" s="88">
        <v>82</v>
      </c>
      <c r="AJ27" s="88">
        <v>99</v>
      </c>
      <c r="AK27" s="88">
        <v>73</v>
      </c>
      <c r="AL27" s="88">
        <v>126</v>
      </c>
      <c r="AM27" s="88">
        <v>23</v>
      </c>
      <c r="AN27" s="88">
        <v>50</v>
      </c>
      <c r="AO27" s="88">
        <v>88</v>
      </c>
      <c r="AP27" s="88">
        <v>17</v>
      </c>
      <c r="AQ27" s="89">
        <v>69</v>
      </c>
      <c r="AR27" s="87">
        <v>28</v>
      </c>
      <c r="AS27" s="88">
        <v>29</v>
      </c>
      <c r="AT27" s="88">
        <v>77</v>
      </c>
      <c r="AU27" s="88">
        <v>40</v>
      </c>
      <c r="AV27" s="88">
        <v>14</v>
      </c>
      <c r="AW27" s="88">
        <v>35</v>
      </c>
      <c r="AX27" s="88">
        <v>30</v>
      </c>
      <c r="AY27" s="88">
        <v>55</v>
      </c>
      <c r="AZ27" s="88">
        <v>78</v>
      </c>
      <c r="BA27" s="89">
        <v>131</v>
      </c>
      <c r="BB27" s="30">
        <v>-14</v>
      </c>
      <c r="BC27" s="31">
        <v>10</v>
      </c>
      <c r="BD27" s="31">
        <v>89</v>
      </c>
      <c r="BE27" s="67">
        <v>-23</v>
      </c>
      <c r="BF27" s="67">
        <v>-53</v>
      </c>
      <c r="BG27" s="67">
        <v>-42</v>
      </c>
      <c r="BH27" s="88">
        <v>-4</v>
      </c>
      <c r="BI27" s="88">
        <v>-65</v>
      </c>
      <c r="BJ27" s="88">
        <v>-82</v>
      </c>
      <c r="BK27" s="89">
        <v>-55</v>
      </c>
      <c r="BL27" s="87">
        <v>-121</v>
      </c>
      <c r="BM27" s="88">
        <v>-272</v>
      </c>
      <c r="BN27" s="88">
        <v>-156</v>
      </c>
      <c r="BO27" s="5">
        <f>Births!BO27-Deaths!BO27</f>
        <v>-205</v>
      </c>
      <c r="BP27" s="5">
        <f>Births!BP27-Deaths!BP27</f>
        <v>-163</v>
      </c>
      <c r="BQ27" s="89">
        <f>Births!BQ27-Deaths!BQ27</f>
        <v>-184</v>
      </c>
    </row>
    <row r="28" spans="1:69" x14ac:dyDescent="0.2">
      <c r="A28" s="20" t="s">
        <v>48</v>
      </c>
      <c r="B28" s="21" t="s">
        <v>49</v>
      </c>
      <c r="C28" s="25" t="s">
        <v>2</v>
      </c>
      <c r="D28" s="87">
        <v>336</v>
      </c>
      <c r="E28" s="88">
        <v>278</v>
      </c>
      <c r="F28" s="88">
        <v>185</v>
      </c>
      <c r="G28" s="88">
        <v>191</v>
      </c>
      <c r="H28" s="88">
        <v>174</v>
      </c>
      <c r="I28" s="88">
        <v>112</v>
      </c>
      <c r="J28" s="88">
        <v>127</v>
      </c>
      <c r="K28" s="88">
        <v>126</v>
      </c>
      <c r="L28" s="88">
        <v>98</v>
      </c>
      <c r="M28" s="89">
        <v>131</v>
      </c>
      <c r="N28" s="87">
        <v>139</v>
      </c>
      <c r="O28" s="88">
        <v>185</v>
      </c>
      <c r="P28" s="88">
        <v>155</v>
      </c>
      <c r="Q28" s="88">
        <v>121</v>
      </c>
      <c r="R28" s="88">
        <v>168</v>
      </c>
      <c r="S28" s="88">
        <v>173</v>
      </c>
      <c r="T28" s="88">
        <v>180</v>
      </c>
      <c r="U28" s="88">
        <v>216</v>
      </c>
      <c r="V28" s="88">
        <v>243</v>
      </c>
      <c r="W28" s="89">
        <v>268</v>
      </c>
      <c r="X28" s="87">
        <v>346</v>
      </c>
      <c r="Y28" s="88">
        <v>328</v>
      </c>
      <c r="Z28" s="88">
        <v>333</v>
      </c>
      <c r="AA28" s="88">
        <v>290</v>
      </c>
      <c r="AB28" s="88">
        <v>268</v>
      </c>
      <c r="AC28" s="88">
        <v>196</v>
      </c>
      <c r="AD28" s="88">
        <v>226</v>
      </c>
      <c r="AE28" s="88">
        <v>211</v>
      </c>
      <c r="AF28" s="88">
        <v>190</v>
      </c>
      <c r="AG28" s="89">
        <v>205</v>
      </c>
      <c r="AH28" s="87">
        <v>245</v>
      </c>
      <c r="AI28" s="88">
        <v>264</v>
      </c>
      <c r="AJ28" s="88">
        <v>224</v>
      </c>
      <c r="AK28" s="88">
        <v>240</v>
      </c>
      <c r="AL28" s="88">
        <v>232</v>
      </c>
      <c r="AM28" s="88">
        <v>213</v>
      </c>
      <c r="AN28" s="88">
        <v>198</v>
      </c>
      <c r="AO28" s="88">
        <v>171</v>
      </c>
      <c r="AP28" s="88">
        <v>146</v>
      </c>
      <c r="AQ28" s="89">
        <v>210</v>
      </c>
      <c r="AR28" s="87">
        <v>154</v>
      </c>
      <c r="AS28" s="88">
        <v>144</v>
      </c>
      <c r="AT28" s="88">
        <v>37</v>
      </c>
      <c r="AU28" s="88">
        <v>141</v>
      </c>
      <c r="AV28" s="88">
        <v>149</v>
      </c>
      <c r="AW28" s="88">
        <v>174</v>
      </c>
      <c r="AX28" s="88">
        <v>223</v>
      </c>
      <c r="AY28" s="88">
        <v>193</v>
      </c>
      <c r="AZ28" s="88">
        <v>151</v>
      </c>
      <c r="BA28" s="89">
        <v>209</v>
      </c>
      <c r="BB28" s="30">
        <v>170</v>
      </c>
      <c r="BC28" s="31">
        <v>138</v>
      </c>
      <c r="BD28" s="31">
        <v>132</v>
      </c>
      <c r="BE28" s="67">
        <v>94</v>
      </c>
      <c r="BF28" s="67">
        <v>97</v>
      </c>
      <c r="BG28" s="67">
        <v>7</v>
      </c>
      <c r="BH28" s="88">
        <v>77</v>
      </c>
      <c r="BI28" s="88">
        <v>39</v>
      </c>
      <c r="BJ28" s="88">
        <v>18</v>
      </c>
      <c r="BK28" s="89">
        <v>9</v>
      </c>
      <c r="BL28" s="87">
        <v>-72</v>
      </c>
      <c r="BM28" s="88">
        <v>-186</v>
      </c>
      <c r="BN28" s="88">
        <v>-43</v>
      </c>
      <c r="BO28" s="5">
        <f>Births!BO28-Deaths!BO28</f>
        <v>-128</v>
      </c>
      <c r="BP28" s="5">
        <f>Births!BP28-Deaths!BP28</f>
        <v>-119</v>
      </c>
      <c r="BQ28" s="89">
        <f>Births!BQ28-Deaths!BQ28</f>
        <v>-83</v>
      </c>
    </row>
    <row r="29" spans="1:69" x14ac:dyDescent="0.2">
      <c r="A29" s="20" t="s">
        <v>35</v>
      </c>
      <c r="B29" s="21" t="s">
        <v>50</v>
      </c>
      <c r="C29" s="25" t="s">
        <v>2</v>
      </c>
      <c r="D29" s="87">
        <v>80</v>
      </c>
      <c r="E29" s="88">
        <v>39</v>
      </c>
      <c r="F29" s="88">
        <v>74</v>
      </c>
      <c r="G29" s="88">
        <v>6</v>
      </c>
      <c r="H29" s="88">
        <v>30</v>
      </c>
      <c r="I29" s="88">
        <v>43</v>
      </c>
      <c r="J29" s="88">
        <v>-15</v>
      </c>
      <c r="K29" s="88">
        <v>19</v>
      </c>
      <c r="L29" s="88">
        <v>5</v>
      </c>
      <c r="M29" s="89">
        <v>24</v>
      </c>
      <c r="N29" s="87">
        <v>30</v>
      </c>
      <c r="O29" s="88">
        <v>-15</v>
      </c>
      <c r="P29" s="88">
        <v>-20</v>
      </c>
      <c r="Q29" s="88">
        <v>3</v>
      </c>
      <c r="R29" s="88">
        <v>14</v>
      </c>
      <c r="S29" s="88">
        <v>29</v>
      </c>
      <c r="T29" s="88">
        <v>26</v>
      </c>
      <c r="U29" s="88">
        <v>29</v>
      </c>
      <c r="V29" s="88">
        <v>40</v>
      </c>
      <c r="W29" s="89">
        <v>72</v>
      </c>
      <c r="X29" s="87">
        <v>56</v>
      </c>
      <c r="Y29" s="88">
        <v>28</v>
      </c>
      <c r="Z29" s="88">
        <v>37</v>
      </c>
      <c r="AA29" s="88">
        <v>15</v>
      </c>
      <c r="AB29" s="88">
        <v>29</v>
      </c>
      <c r="AC29" s="88">
        <v>14</v>
      </c>
      <c r="AD29" s="88">
        <v>-40</v>
      </c>
      <c r="AE29" s="88">
        <v>-21</v>
      </c>
      <c r="AF29" s="88">
        <v>7</v>
      </c>
      <c r="AG29" s="89">
        <v>-43</v>
      </c>
      <c r="AH29" s="87">
        <v>-34</v>
      </c>
      <c r="AI29" s="88">
        <v>-63</v>
      </c>
      <c r="AJ29" s="88">
        <v>-5</v>
      </c>
      <c r="AK29" s="88">
        <v>-47</v>
      </c>
      <c r="AL29" s="88">
        <v>-11</v>
      </c>
      <c r="AM29" s="88">
        <v>-51</v>
      </c>
      <c r="AN29" s="88">
        <v>-98</v>
      </c>
      <c r="AO29" s="88">
        <v>-50</v>
      </c>
      <c r="AP29" s="88">
        <v>-70</v>
      </c>
      <c r="AQ29" s="89">
        <v>-109</v>
      </c>
      <c r="AR29" s="87">
        <v>-107</v>
      </c>
      <c r="AS29" s="88">
        <v>-133</v>
      </c>
      <c r="AT29" s="88">
        <v>-123</v>
      </c>
      <c r="AU29" s="88">
        <v>-99</v>
      </c>
      <c r="AV29" s="88">
        <v>-78</v>
      </c>
      <c r="AW29" s="88">
        <v>-59</v>
      </c>
      <c r="AX29" s="88">
        <v>-98</v>
      </c>
      <c r="AY29" s="88">
        <v>-85</v>
      </c>
      <c r="AZ29" s="88">
        <v>-88</v>
      </c>
      <c r="BA29" s="89">
        <v>-117</v>
      </c>
      <c r="BB29" s="30">
        <v>-105</v>
      </c>
      <c r="BC29" s="31">
        <v>-75</v>
      </c>
      <c r="BD29" s="31">
        <v>-100</v>
      </c>
      <c r="BE29" s="67">
        <v>-139</v>
      </c>
      <c r="BF29" s="67">
        <v>-94</v>
      </c>
      <c r="BG29" s="67">
        <v>-135</v>
      </c>
      <c r="BH29" s="88">
        <v>-74</v>
      </c>
      <c r="BI29" s="88">
        <v>-180</v>
      </c>
      <c r="BJ29" s="88">
        <v>-174</v>
      </c>
      <c r="BK29" s="89">
        <v>-173</v>
      </c>
      <c r="BL29" s="87">
        <v>-158</v>
      </c>
      <c r="BM29" s="88">
        <v>-289</v>
      </c>
      <c r="BN29" s="88">
        <v>-234</v>
      </c>
      <c r="BO29" s="5">
        <f>Births!BO29-Deaths!BO29</f>
        <v>-246</v>
      </c>
      <c r="BP29" s="5">
        <f>Births!BP29-Deaths!BP29</f>
        <v>-220</v>
      </c>
      <c r="BQ29" s="89">
        <f>Births!BQ29-Deaths!BQ29</f>
        <v>-228</v>
      </c>
    </row>
    <row r="30" spans="1:69" x14ac:dyDescent="0.2">
      <c r="A30" s="20" t="s">
        <v>51</v>
      </c>
      <c r="B30" s="21" t="s">
        <v>52</v>
      </c>
      <c r="C30" s="25" t="s">
        <v>2</v>
      </c>
      <c r="D30" s="87">
        <v>73</v>
      </c>
      <c r="E30" s="88">
        <v>58</v>
      </c>
      <c r="F30" s="88">
        <v>64</v>
      </c>
      <c r="G30" s="88">
        <v>55</v>
      </c>
      <c r="H30" s="88">
        <v>75</v>
      </c>
      <c r="I30" s="88">
        <v>87</v>
      </c>
      <c r="J30" s="88">
        <v>35</v>
      </c>
      <c r="K30" s="88">
        <v>18</v>
      </c>
      <c r="L30" s="88">
        <v>4</v>
      </c>
      <c r="M30" s="89">
        <v>27</v>
      </c>
      <c r="N30" s="87">
        <v>28</v>
      </c>
      <c r="O30" s="88">
        <v>51</v>
      </c>
      <c r="P30" s="88">
        <v>49</v>
      </c>
      <c r="Q30" s="88">
        <v>46</v>
      </c>
      <c r="R30" s="88">
        <v>40</v>
      </c>
      <c r="S30" s="88">
        <v>52</v>
      </c>
      <c r="T30" s="88">
        <v>59</v>
      </c>
      <c r="U30" s="88">
        <v>58</v>
      </c>
      <c r="V30" s="88">
        <v>83</v>
      </c>
      <c r="W30" s="89">
        <v>92</v>
      </c>
      <c r="X30" s="87">
        <v>84</v>
      </c>
      <c r="Y30" s="88">
        <v>71</v>
      </c>
      <c r="Z30" s="88">
        <v>44</v>
      </c>
      <c r="AA30" s="88">
        <v>28</v>
      </c>
      <c r="AB30" s="88">
        <v>34</v>
      </c>
      <c r="AC30" s="88">
        <v>64</v>
      </c>
      <c r="AD30" s="88">
        <v>16</v>
      </c>
      <c r="AE30" s="88">
        <v>15</v>
      </c>
      <c r="AF30" s="88">
        <v>52</v>
      </c>
      <c r="AG30" s="89">
        <v>60</v>
      </c>
      <c r="AH30" s="87">
        <v>56</v>
      </c>
      <c r="AI30" s="88">
        <v>53</v>
      </c>
      <c r="AJ30" s="88">
        <v>37</v>
      </c>
      <c r="AK30" s="88">
        <v>46</v>
      </c>
      <c r="AL30" s="88">
        <v>51</v>
      </c>
      <c r="AM30" s="88">
        <v>41</v>
      </c>
      <c r="AN30" s="88">
        <v>22</v>
      </c>
      <c r="AO30" s="88">
        <v>-1</v>
      </c>
      <c r="AP30" s="88">
        <v>16</v>
      </c>
      <c r="AQ30" s="89">
        <v>36</v>
      </c>
      <c r="AR30" s="87">
        <v>-6</v>
      </c>
      <c r="AS30" s="88">
        <v>16</v>
      </c>
      <c r="AT30" s="88">
        <v>-14</v>
      </c>
      <c r="AU30" s="88">
        <v>-29</v>
      </c>
      <c r="AV30" s="88">
        <v>-23</v>
      </c>
      <c r="AW30" s="88">
        <v>14</v>
      </c>
      <c r="AX30" s="88">
        <v>0</v>
      </c>
      <c r="AY30" s="88">
        <v>-1</v>
      </c>
      <c r="AZ30" s="88">
        <v>-23</v>
      </c>
      <c r="BA30" s="89">
        <v>17</v>
      </c>
      <c r="BB30" s="30">
        <v>-41</v>
      </c>
      <c r="BC30" s="31">
        <v>-41</v>
      </c>
      <c r="BD30" s="31">
        <v>-33</v>
      </c>
      <c r="BE30" s="67">
        <v>-17</v>
      </c>
      <c r="BF30" s="67">
        <v>-19</v>
      </c>
      <c r="BG30" s="67">
        <v>-32</v>
      </c>
      <c r="BH30" s="88">
        <v>-28</v>
      </c>
      <c r="BI30" s="88">
        <v>-48</v>
      </c>
      <c r="BJ30" s="88">
        <v>-55</v>
      </c>
      <c r="BK30" s="89">
        <v>-35</v>
      </c>
      <c r="BL30" s="87">
        <v>-80</v>
      </c>
      <c r="BM30" s="88">
        <v>-121</v>
      </c>
      <c r="BN30" s="88">
        <v>-131</v>
      </c>
      <c r="BO30" s="5">
        <f>Births!BO30-Deaths!BO30</f>
        <v>-72</v>
      </c>
      <c r="BP30" s="5">
        <f>Births!BP30-Deaths!BP30</f>
        <v>-36</v>
      </c>
      <c r="BQ30" s="89">
        <f>Births!BQ30-Deaths!BQ30</f>
        <v>-44</v>
      </c>
    </row>
    <row r="31" spans="1:69" x14ac:dyDescent="0.2">
      <c r="A31" s="20" t="s">
        <v>53</v>
      </c>
      <c r="B31" s="21" t="s">
        <v>461</v>
      </c>
      <c r="C31" s="25" t="s">
        <v>2</v>
      </c>
      <c r="D31" s="87">
        <v>5138</v>
      </c>
      <c r="E31" s="88">
        <v>5234</v>
      </c>
      <c r="F31" s="88">
        <v>5120</v>
      </c>
      <c r="G31" s="88">
        <v>4626</v>
      </c>
      <c r="H31" s="88">
        <v>4331</v>
      </c>
      <c r="I31" s="88">
        <v>3758</v>
      </c>
      <c r="J31" s="88">
        <v>3581</v>
      </c>
      <c r="K31" s="88">
        <v>3816</v>
      </c>
      <c r="L31" s="88">
        <v>4201</v>
      </c>
      <c r="M31" s="89">
        <v>4379</v>
      </c>
      <c r="N31" s="87">
        <v>4516</v>
      </c>
      <c r="O31" s="88">
        <v>3560</v>
      </c>
      <c r="P31" s="88">
        <v>2525</v>
      </c>
      <c r="Q31" s="88">
        <v>3125</v>
      </c>
      <c r="R31" s="88">
        <v>3481</v>
      </c>
      <c r="S31" s="88">
        <v>3696</v>
      </c>
      <c r="T31" s="88">
        <v>4286</v>
      </c>
      <c r="U31" s="88">
        <v>4300</v>
      </c>
      <c r="V31" s="88">
        <v>4819</v>
      </c>
      <c r="W31" s="89">
        <v>5167</v>
      </c>
      <c r="X31" s="87">
        <v>5538</v>
      </c>
      <c r="Y31" s="88">
        <v>5793</v>
      </c>
      <c r="Z31" s="88">
        <v>5801</v>
      </c>
      <c r="AA31" s="88">
        <v>5418</v>
      </c>
      <c r="AB31" s="88">
        <v>5430</v>
      </c>
      <c r="AC31" s="88">
        <v>5697</v>
      </c>
      <c r="AD31" s="88">
        <v>5618</v>
      </c>
      <c r="AE31" s="88">
        <v>5549</v>
      </c>
      <c r="AF31" s="88">
        <v>5674</v>
      </c>
      <c r="AG31" s="89">
        <v>5896</v>
      </c>
      <c r="AH31" s="87">
        <v>6222</v>
      </c>
      <c r="AI31" s="88">
        <v>6192</v>
      </c>
      <c r="AJ31" s="88">
        <v>5789</v>
      </c>
      <c r="AK31" s="88">
        <v>5420</v>
      </c>
      <c r="AL31" s="88">
        <v>4985</v>
      </c>
      <c r="AM31" s="88">
        <v>4534</v>
      </c>
      <c r="AN31" s="88">
        <v>4726</v>
      </c>
      <c r="AO31" s="88">
        <v>4933</v>
      </c>
      <c r="AP31" s="88">
        <v>4854</v>
      </c>
      <c r="AQ31" s="89">
        <v>4848</v>
      </c>
      <c r="AR31" s="87">
        <v>4935</v>
      </c>
      <c r="AS31" s="88">
        <v>4646</v>
      </c>
      <c r="AT31" s="88">
        <v>4637</v>
      </c>
      <c r="AU31" s="88">
        <v>4679</v>
      </c>
      <c r="AV31" s="88">
        <v>4877</v>
      </c>
      <c r="AW31" s="88">
        <v>5175</v>
      </c>
      <c r="AX31" s="88">
        <v>5793</v>
      </c>
      <c r="AY31" s="88">
        <v>5629</v>
      </c>
      <c r="AZ31" s="88">
        <v>5850</v>
      </c>
      <c r="BA31" s="89">
        <v>5745</v>
      </c>
      <c r="BB31" s="30">
        <v>4945</v>
      </c>
      <c r="BC31" s="31">
        <v>5849</v>
      </c>
      <c r="BD31" s="31">
        <v>5158</v>
      </c>
      <c r="BE31" s="67">
        <v>5366</v>
      </c>
      <c r="BF31" s="67">
        <v>5315</v>
      </c>
      <c r="BG31" s="67">
        <v>5133</v>
      </c>
      <c r="BH31" s="88">
        <v>4882</v>
      </c>
      <c r="BI31" s="88">
        <v>4508</v>
      </c>
      <c r="BJ31" s="88">
        <v>4338</v>
      </c>
      <c r="BK31" s="89">
        <v>4149</v>
      </c>
      <c r="BL31" s="87">
        <v>3402</v>
      </c>
      <c r="BM31" s="88">
        <v>2460</v>
      </c>
      <c r="BN31" s="88">
        <v>2794</v>
      </c>
      <c r="BO31" s="5">
        <f>Births!BO31-Deaths!BO31</f>
        <v>2434</v>
      </c>
      <c r="BP31" s="5">
        <f>Births!BP31-Deaths!BP31</f>
        <v>2530</v>
      </c>
      <c r="BQ31" s="89">
        <f>Births!BQ31-Deaths!BQ31</f>
        <v>2488</v>
      </c>
    </row>
    <row r="32" spans="1:69" x14ac:dyDescent="0.2">
      <c r="A32" s="20" t="s">
        <v>55</v>
      </c>
      <c r="B32" s="21" t="s">
        <v>56</v>
      </c>
      <c r="C32" s="25"/>
      <c r="D32" s="87">
        <v>-15</v>
      </c>
      <c r="E32" s="88">
        <v>-11</v>
      </c>
      <c r="F32" s="88">
        <v>-3</v>
      </c>
      <c r="G32" s="88">
        <v>-9</v>
      </c>
      <c r="H32" s="88">
        <v>-20</v>
      </c>
      <c r="I32" s="88">
        <v>-6</v>
      </c>
      <c r="J32" s="88">
        <v>-8</v>
      </c>
      <c r="K32" s="88">
        <v>-15</v>
      </c>
      <c r="L32" s="88">
        <v>-11</v>
      </c>
      <c r="M32" s="89">
        <v>-12</v>
      </c>
      <c r="N32" s="87">
        <v>-21</v>
      </c>
      <c r="O32" s="88">
        <v>-6</v>
      </c>
      <c r="P32" s="88">
        <v>-9</v>
      </c>
      <c r="Q32" s="88">
        <v>-10</v>
      </c>
      <c r="R32" s="88">
        <v>-6</v>
      </c>
      <c r="S32" s="88">
        <v>2</v>
      </c>
      <c r="T32" s="88">
        <v>-5</v>
      </c>
      <c r="U32" s="88">
        <v>28</v>
      </c>
      <c r="V32" s="88">
        <v>36</v>
      </c>
      <c r="W32" s="89">
        <v>11</v>
      </c>
      <c r="X32" s="87">
        <v>25</v>
      </c>
      <c r="Y32" s="88">
        <v>37</v>
      </c>
      <c r="Z32" s="88">
        <v>11</v>
      </c>
      <c r="AA32" s="88">
        <v>50</v>
      </c>
      <c r="AB32" s="88">
        <v>-7</v>
      </c>
      <c r="AC32" s="88">
        <v>40</v>
      </c>
      <c r="AD32" s="88">
        <v>50</v>
      </c>
      <c r="AE32" s="88">
        <v>15</v>
      </c>
      <c r="AF32" s="88">
        <v>27</v>
      </c>
      <c r="AG32" s="89">
        <v>28</v>
      </c>
      <c r="AH32" s="87">
        <v>19</v>
      </c>
      <c r="AI32" s="88">
        <v>12</v>
      </c>
      <c r="AJ32" s="88">
        <v>14</v>
      </c>
      <c r="AK32" s="88">
        <v>-8</v>
      </c>
      <c r="AL32" s="88">
        <v>17</v>
      </c>
      <c r="AM32" s="88">
        <v>7</v>
      </c>
      <c r="AN32" s="88">
        <v>6</v>
      </c>
      <c r="AO32" s="88">
        <v>10</v>
      </c>
      <c r="AP32" s="88">
        <v>9</v>
      </c>
      <c r="AQ32" s="89">
        <v>-23</v>
      </c>
      <c r="AR32" s="87">
        <v>-14</v>
      </c>
      <c r="AS32" s="88">
        <v>-20</v>
      </c>
      <c r="AT32" s="88">
        <v>-34</v>
      </c>
      <c r="AU32" s="88">
        <v>-25</v>
      </c>
      <c r="AV32" s="88">
        <v>-5</v>
      </c>
      <c r="AW32" s="88">
        <v>-4</v>
      </c>
      <c r="AX32" s="88">
        <v>-29</v>
      </c>
      <c r="AY32" s="88">
        <v>-14</v>
      </c>
      <c r="AZ32" s="88">
        <v>-17</v>
      </c>
      <c r="BA32" s="89">
        <v>-47</v>
      </c>
      <c r="BB32" s="30">
        <v>-2</v>
      </c>
      <c r="BC32" s="31">
        <v>-53</v>
      </c>
      <c r="BD32" s="31">
        <v>-83</v>
      </c>
      <c r="BE32" s="67">
        <v>-28</v>
      </c>
      <c r="BF32" s="67">
        <v>-67</v>
      </c>
      <c r="BG32" s="67">
        <v>-74</v>
      </c>
      <c r="BH32" s="88">
        <v>-71</v>
      </c>
      <c r="BI32" s="88">
        <v>-46</v>
      </c>
      <c r="BJ32" s="88">
        <v>-50</v>
      </c>
      <c r="BK32" s="89">
        <v>-42</v>
      </c>
      <c r="BL32" s="87">
        <v>-51</v>
      </c>
      <c r="BM32" s="88">
        <v>-60</v>
      </c>
      <c r="BN32" s="88">
        <v>-34</v>
      </c>
      <c r="BO32" s="5">
        <f>Births!BO32-Deaths!BO32</f>
        <v>-67</v>
      </c>
      <c r="BP32" s="5">
        <f>Births!BP32-Deaths!BP32</f>
        <v>-87</v>
      </c>
      <c r="BQ32" s="89">
        <f>Births!BQ32-Deaths!BQ32</f>
        <v>-79</v>
      </c>
    </row>
    <row r="33" spans="1:69" x14ac:dyDescent="0.2">
      <c r="A33" s="20" t="s">
        <v>57</v>
      </c>
      <c r="B33" s="21" t="s">
        <v>58</v>
      </c>
      <c r="C33" s="25" t="s">
        <v>2</v>
      </c>
      <c r="D33" s="87">
        <v>555</v>
      </c>
      <c r="E33" s="88">
        <v>444</v>
      </c>
      <c r="F33" s="88">
        <v>393</v>
      </c>
      <c r="G33" s="88">
        <v>384</v>
      </c>
      <c r="H33" s="88">
        <v>296</v>
      </c>
      <c r="I33" s="88">
        <v>238</v>
      </c>
      <c r="J33" s="88">
        <v>250</v>
      </c>
      <c r="K33" s="88">
        <v>195</v>
      </c>
      <c r="L33" s="88">
        <v>255</v>
      </c>
      <c r="M33" s="89">
        <v>296</v>
      </c>
      <c r="N33" s="87">
        <v>293</v>
      </c>
      <c r="O33" s="88">
        <v>279</v>
      </c>
      <c r="P33" s="88">
        <v>108</v>
      </c>
      <c r="Q33" s="88">
        <v>151</v>
      </c>
      <c r="R33" s="88">
        <v>222</v>
      </c>
      <c r="S33" s="88">
        <v>236</v>
      </c>
      <c r="T33" s="88">
        <v>283</v>
      </c>
      <c r="U33" s="88">
        <v>342</v>
      </c>
      <c r="V33" s="88">
        <v>330</v>
      </c>
      <c r="W33" s="89">
        <v>356</v>
      </c>
      <c r="X33" s="87">
        <v>423</v>
      </c>
      <c r="Y33" s="88">
        <v>535</v>
      </c>
      <c r="Z33" s="88">
        <v>461</v>
      </c>
      <c r="AA33" s="88">
        <v>406</v>
      </c>
      <c r="AB33" s="88">
        <v>443</v>
      </c>
      <c r="AC33" s="88">
        <v>389</v>
      </c>
      <c r="AD33" s="88">
        <v>335</v>
      </c>
      <c r="AE33" s="88">
        <v>377</v>
      </c>
      <c r="AF33" s="88">
        <v>419</v>
      </c>
      <c r="AG33" s="89">
        <v>443</v>
      </c>
      <c r="AH33" s="87">
        <v>459</v>
      </c>
      <c r="AI33" s="88">
        <v>577</v>
      </c>
      <c r="AJ33" s="88">
        <v>507</v>
      </c>
      <c r="AK33" s="88">
        <v>439</v>
      </c>
      <c r="AL33" s="88">
        <v>518</v>
      </c>
      <c r="AM33" s="88">
        <v>519</v>
      </c>
      <c r="AN33" s="88">
        <v>417</v>
      </c>
      <c r="AO33" s="88">
        <v>467</v>
      </c>
      <c r="AP33" s="88">
        <v>475</v>
      </c>
      <c r="AQ33" s="89">
        <v>400</v>
      </c>
      <c r="AR33" s="87">
        <v>474</v>
      </c>
      <c r="AS33" s="88">
        <v>440</v>
      </c>
      <c r="AT33" s="88">
        <v>340</v>
      </c>
      <c r="AU33" s="88">
        <v>296</v>
      </c>
      <c r="AV33" s="88">
        <v>486</v>
      </c>
      <c r="AW33" s="88">
        <v>434</v>
      </c>
      <c r="AX33" s="88">
        <v>534</v>
      </c>
      <c r="AY33" s="88">
        <v>557</v>
      </c>
      <c r="AZ33" s="88">
        <v>425</v>
      </c>
      <c r="BA33" s="89">
        <v>434</v>
      </c>
      <c r="BB33" s="30">
        <v>381</v>
      </c>
      <c r="BC33" s="31">
        <v>361</v>
      </c>
      <c r="BD33" s="31">
        <v>351</v>
      </c>
      <c r="BE33" s="67">
        <v>367</v>
      </c>
      <c r="BF33" s="67">
        <v>245</v>
      </c>
      <c r="BG33" s="67">
        <v>310</v>
      </c>
      <c r="BH33" s="88">
        <v>236</v>
      </c>
      <c r="BI33" s="88">
        <v>171</v>
      </c>
      <c r="BJ33" s="88">
        <v>109</v>
      </c>
      <c r="BK33" s="89">
        <v>142</v>
      </c>
      <c r="BL33" s="87">
        <v>-25</v>
      </c>
      <c r="BM33" s="88">
        <v>-142</v>
      </c>
      <c r="BN33" s="88">
        <v>-60</v>
      </c>
      <c r="BO33" s="5">
        <f>Births!BO33-Deaths!BO33</f>
        <v>-118</v>
      </c>
      <c r="BP33" s="5">
        <f>Births!BP33-Deaths!BP33</f>
        <v>-113</v>
      </c>
      <c r="BQ33" s="89">
        <f>Births!BQ33-Deaths!BQ33</f>
        <v>-243</v>
      </c>
    </row>
    <row r="34" spans="1:69" x14ac:dyDescent="0.2">
      <c r="A34" s="20" t="s">
        <v>59</v>
      </c>
      <c r="B34" s="21" t="s">
        <v>60</v>
      </c>
      <c r="C34" s="25" t="s">
        <v>2</v>
      </c>
      <c r="D34" s="87">
        <v>72</v>
      </c>
      <c r="E34" s="88">
        <v>89</v>
      </c>
      <c r="F34" s="88">
        <v>73</v>
      </c>
      <c r="G34" s="88">
        <v>38</v>
      </c>
      <c r="H34" s="88">
        <v>57</v>
      </c>
      <c r="I34" s="88">
        <v>57</v>
      </c>
      <c r="J34" s="88">
        <v>27</v>
      </c>
      <c r="K34" s="88">
        <v>25</v>
      </c>
      <c r="L34" s="88">
        <v>30</v>
      </c>
      <c r="M34" s="89">
        <v>46</v>
      </c>
      <c r="N34" s="87">
        <v>27</v>
      </c>
      <c r="O34" s="88">
        <v>42</v>
      </c>
      <c r="P34" s="88">
        <v>66</v>
      </c>
      <c r="Q34" s="88">
        <v>51</v>
      </c>
      <c r="R34" s="88">
        <v>41</v>
      </c>
      <c r="S34" s="88">
        <v>39</v>
      </c>
      <c r="T34" s="88">
        <v>73</v>
      </c>
      <c r="U34" s="88">
        <v>53</v>
      </c>
      <c r="V34" s="88">
        <v>78</v>
      </c>
      <c r="W34" s="89">
        <v>92</v>
      </c>
      <c r="X34" s="87">
        <v>111</v>
      </c>
      <c r="Y34" s="88">
        <v>89</v>
      </c>
      <c r="Z34" s="88">
        <v>70</v>
      </c>
      <c r="AA34" s="88">
        <v>83</v>
      </c>
      <c r="AB34" s="88">
        <v>58</v>
      </c>
      <c r="AC34" s="88">
        <v>46</v>
      </c>
      <c r="AD34" s="88">
        <v>54</v>
      </c>
      <c r="AE34" s="88">
        <v>67</v>
      </c>
      <c r="AF34" s="88">
        <v>55</v>
      </c>
      <c r="AG34" s="89">
        <v>57</v>
      </c>
      <c r="AH34" s="87">
        <v>37</v>
      </c>
      <c r="AI34" s="88">
        <v>56</v>
      </c>
      <c r="AJ34" s="88">
        <v>22</v>
      </c>
      <c r="AK34" s="88">
        <v>29</v>
      </c>
      <c r="AL34" s="88">
        <v>22</v>
      </c>
      <c r="AM34" s="88">
        <v>18</v>
      </c>
      <c r="AN34" s="88">
        <v>12</v>
      </c>
      <c r="AO34" s="88">
        <v>22</v>
      </c>
      <c r="AP34" s="88">
        <v>62</v>
      </c>
      <c r="AQ34" s="89">
        <v>46</v>
      </c>
      <c r="AR34" s="87">
        <v>30</v>
      </c>
      <c r="AS34" s="88">
        <v>45</v>
      </c>
      <c r="AT34" s="88">
        <v>46</v>
      </c>
      <c r="AU34" s="88">
        <v>42</v>
      </c>
      <c r="AV34" s="88">
        <v>-1</v>
      </c>
      <c r="AW34" s="88">
        <v>26</v>
      </c>
      <c r="AX34" s="88">
        <v>36</v>
      </c>
      <c r="AY34" s="88">
        <v>53</v>
      </c>
      <c r="AZ34" s="88">
        <v>40</v>
      </c>
      <c r="BA34" s="89">
        <v>15</v>
      </c>
      <c r="BB34" s="30">
        <v>19</v>
      </c>
      <c r="BC34" s="31">
        <v>21</v>
      </c>
      <c r="BD34" s="31">
        <v>23</v>
      </c>
      <c r="BE34" s="67">
        <v>22</v>
      </c>
      <c r="BF34" s="67">
        <v>3</v>
      </c>
      <c r="BG34" s="67">
        <v>12</v>
      </c>
      <c r="BH34" s="88">
        <v>-8</v>
      </c>
      <c r="BI34" s="88">
        <v>14</v>
      </c>
      <c r="BJ34" s="88">
        <v>11</v>
      </c>
      <c r="BK34" s="89">
        <v>-15</v>
      </c>
      <c r="BL34" s="87">
        <v>-14</v>
      </c>
      <c r="BM34" s="88">
        <v>-25</v>
      </c>
      <c r="BN34" s="88">
        <v>-14</v>
      </c>
      <c r="BO34" s="5">
        <f>Births!BO34-Deaths!BO34</f>
        <v>-44</v>
      </c>
      <c r="BP34" s="5">
        <f>Births!BP34-Deaths!BP34</f>
        <v>-63</v>
      </c>
      <c r="BQ34" s="89">
        <f>Births!BQ34-Deaths!BQ34</f>
        <v>-5</v>
      </c>
    </row>
    <row r="35" spans="1:69" x14ac:dyDescent="0.2">
      <c r="A35" s="20" t="s">
        <v>61</v>
      </c>
      <c r="B35" s="21" t="s">
        <v>62</v>
      </c>
      <c r="C35" s="25" t="s">
        <v>2</v>
      </c>
      <c r="D35" s="87">
        <v>2639</v>
      </c>
      <c r="E35" s="88">
        <v>2671</v>
      </c>
      <c r="F35" s="88">
        <v>2613</v>
      </c>
      <c r="G35" s="88">
        <v>2520</v>
      </c>
      <c r="H35" s="88">
        <v>2392</v>
      </c>
      <c r="I35" s="88">
        <v>2019</v>
      </c>
      <c r="J35" s="88">
        <v>1927</v>
      </c>
      <c r="K35" s="88">
        <v>2252</v>
      </c>
      <c r="L35" s="88">
        <v>2664</v>
      </c>
      <c r="M35" s="89">
        <v>3175</v>
      </c>
      <c r="N35" s="87">
        <v>3318</v>
      </c>
      <c r="O35" s="88">
        <v>2430</v>
      </c>
      <c r="P35" s="88">
        <v>1845</v>
      </c>
      <c r="Q35" s="88">
        <v>1888</v>
      </c>
      <c r="R35" s="88">
        <v>1981</v>
      </c>
      <c r="S35" s="88">
        <v>2015</v>
      </c>
      <c r="T35" s="88">
        <v>2156</v>
      </c>
      <c r="U35" s="88">
        <v>2404</v>
      </c>
      <c r="V35" s="88">
        <v>2547</v>
      </c>
      <c r="W35" s="89">
        <v>3151</v>
      </c>
      <c r="X35" s="87">
        <v>3592</v>
      </c>
      <c r="Y35" s="88">
        <v>3878</v>
      </c>
      <c r="Z35" s="88">
        <v>3799</v>
      </c>
      <c r="AA35" s="88">
        <v>3716</v>
      </c>
      <c r="AB35" s="88">
        <v>3843</v>
      </c>
      <c r="AC35" s="88">
        <v>4004</v>
      </c>
      <c r="AD35" s="88">
        <v>4073</v>
      </c>
      <c r="AE35" s="88">
        <v>4225</v>
      </c>
      <c r="AF35" s="88">
        <v>4659</v>
      </c>
      <c r="AG35" s="89">
        <v>5248</v>
      </c>
      <c r="AH35" s="87">
        <v>5328</v>
      </c>
      <c r="AI35" s="88">
        <v>5397</v>
      </c>
      <c r="AJ35" s="88">
        <v>5002</v>
      </c>
      <c r="AK35" s="88">
        <v>4758</v>
      </c>
      <c r="AL35" s="88">
        <v>4560</v>
      </c>
      <c r="AM35" s="88">
        <v>4456</v>
      </c>
      <c r="AN35" s="88">
        <v>4432</v>
      </c>
      <c r="AO35" s="88">
        <v>4742</v>
      </c>
      <c r="AP35" s="88">
        <v>4738</v>
      </c>
      <c r="AQ35" s="89">
        <v>4657</v>
      </c>
      <c r="AR35" s="87">
        <v>4809</v>
      </c>
      <c r="AS35" s="88">
        <v>4549</v>
      </c>
      <c r="AT35" s="88">
        <v>4427</v>
      </c>
      <c r="AU35" s="88">
        <v>4462</v>
      </c>
      <c r="AV35" s="88">
        <v>4453</v>
      </c>
      <c r="AW35" s="88">
        <v>4681</v>
      </c>
      <c r="AX35" s="88">
        <v>5087</v>
      </c>
      <c r="AY35" s="88">
        <v>5292</v>
      </c>
      <c r="AZ35" s="88">
        <v>5234</v>
      </c>
      <c r="BA35" s="89">
        <v>4806</v>
      </c>
      <c r="BB35" s="30">
        <v>4464</v>
      </c>
      <c r="BC35" s="31">
        <v>4299</v>
      </c>
      <c r="BD35" s="31">
        <v>4401</v>
      </c>
      <c r="BE35" s="67">
        <v>4545</v>
      </c>
      <c r="BF35" s="67">
        <v>4651</v>
      </c>
      <c r="BG35" s="67">
        <v>4619</v>
      </c>
      <c r="BH35" s="88">
        <v>4396</v>
      </c>
      <c r="BI35" s="88">
        <v>4313</v>
      </c>
      <c r="BJ35" s="88">
        <v>4299</v>
      </c>
      <c r="BK35" s="89">
        <v>3785</v>
      </c>
      <c r="BL35" s="87">
        <v>3010</v>
      </c>
      <c r="BM35" s="88">
        <v>3344</v>
      </c>
      <c r="BN35" s="88">
        <v>3257</v>
      </c>
      <c r="BO35" s="5">
        <f>Births!BO35-Deaths!BO35</f>
        <v>3639</v>
      </c>
      <c r="BP35" s="5">
        <f>Births!BP35-Deaths!BP35</f>
        <v>3509</v>
      </c>
      <c r="BQ35" s="89">
        <f>Births!BQ35-Deaths!BQ35</f>
        <v>3233</v>
      </c>
    </row>
    <row r="36" spans="1:69" x14ac:dyDescent="0.2">
      <c r="A36" s="20" t="s">
        <v>63</v>
      </c>
      <c r="B36" s="21" t="s">
        <v>64</v>
      </c>
      <c r="C36" s="25" t="s">
        <v>2</v>
      </c>
      <c r="D36" s="87">
        <v>4039</v>
      </c>
      <c r="E36" s="88">
        <v>3318</v>
      </c>
      <c r="F36" s="88">
        <v>3066</v>
      </c>
      <c r="G36" s="88">
        <v>2659</v>
      </c>
      <c r="H36" s="88">
        <v>2155</v>
      </c>
      <c r="I36" s="88">
        <v>1669</v>
      </c>
      <c r="J36" s="88">
        <v>1636</v>
      </c>
      <c r="K36" s="88">
        <v>1417</v>
      </c>
      <c r="L36" s="88">
        <v>1600</v>
      </c>
      <c r="M36" s="89">
        <v>2027</v>
      </c>
      <c r="N36" s="87">
        <v>2450</v>
      </c>
      <c r="O36" s="88">
        <v>1904</v>
      </c>
      <c r="P36" s="88">
        <v>1565</v>
      </c>
      <c r="Q36" s="88">
        <v>1738</v>
      </c>
      <c r="R36" s="88">
        <v>1781</v>
      </c>
      <c r="S36" s="88">
        <v>1817</v>
      </c>
      <c r="T36" s="88">
        <v>2015</v>
      </c>
      <c r="U36" s="88">
        <v>2236</v>
      </c>
      <c r="V36" s="88">
        <v>2552</v>
      </c>
      <c r="W36" s="89">
        <v>2778</v>
      </c>
      <c r="X36" s="87">
        <v>2696</v>
      </c>
      <c r="Y36" s="88">
        <v>2818</v>
      </c>
      <c r="Z36" s="88">
        <v>2789</v>
      </c>
      <c r="AA36" s="88">
        <v>2566</v>
      </c>
      <c r="AB36" s="88">
        <v>2525</v>
      </c>
      <c r="AC36" s="88">
        <v>2556</v>
      </c>
      <c r="AD36" s="88">
        <v>2240</v>
      </c>
      <c r="AE36" s="88">
        <v>2173</v>
      </c>
      <c r="AF36" s="88">
        <v>2301</v>
      </c>
      <c r="AG36" s="89">
        <v>2457</v>
      </c>
      <c r="AH36" s="87">
        <v>2574</v>
      </c>
      <c r="AI36" s="88">
        <v>2690</v>
      </c>
      <c r="AJ36" s="88">
        <v>2307</v>
      </c>
      <c r="AK36" s="88">
        <v>2253</v>
      </c>
      <c r="AL36" s="88">
        <v>2212</v>
      </c>
      <c r="AM36" s="88">
        <v>1997</v>
      </c>
      <c r="AN36" s="88">
        <v>2124</v>
      </c>
      <c r="AO36" s="88">
        <v>2130</v>
      </c>
      <c r="AP36" s="88">
        <v>2014</v>
      </c>
      <c r="AQ36" s="89">
        <v>1902</v>
      </c>
      <c r="AR36" s="87">
        <v>1965</v>
      </c>
      <c r="AS36" s="88">
        <v>1723</v>
      </c>
      <c r="AT36" s="88">
        <v>1884</v>
      </c>
      <c r="AU36" s="88">
        <v>1714</v>
      </c>
      <c r="AV36" s="88">
        <v>1754</v>
      </c>
      <c r="AW36" s="88">
        <v>2076</v>
      </c>
      <c r="AX36" s="88">
        <v>2315</v>
      </c>
      <c r="AY36" s="88">
        <v>2199</v>
      </c>
      <c r="AZ36" s="88">
        <v>2021</v>
      </c>
      <c r="BA36" s="89">
        <v>2081</v>
      </c>
      <c r="BB36" s="30">
        <v>1891</v>
      </c>
      <c r="BC36" s="31">
        <v>1740</v>
      </c>
      <c r="BD36" s="31">
        <v>1855</v>
      </c>
      <c r="BE36" s="67">
        <v>1871</v>
      </c>
      <c r="BF36" s="67">
        <v>1594</v>
      </c>
      <c r="BG36" s="67">
        <v>1518</v>
      </c>
      <c r="BH36" s="88">
        <v>1546</v>
      </c>
      <c r="BI36" s="88">
        <v>1150</v>
      </c>
      <c r="BJ36" s="88">
        <v>1058</v>
      </c>
      <c r="BK36" s="89">
        <v>1012</v>
      </c>
      <c r="BL36" s="87">
        <v>269</v>
      </c>
      <c r="BM36" s="88">
        <v>-51</v>
      </c>
      <c r="BN36" s="88">
        <v>411</v>
      </c>
      <c r="BO36" s="5">
        <f>Births!BO36-Deaths!BO36</f>
        <v>294</v>
      </c>
      <c r="BP36" s="5">
        <f>Births!BP36-Deaths!BP36</f>
        <v>551</v>
      </c>
      <c r="BQ36" s="89">
        <f>Births!BQ36-Deaths!BQ36</f>
        <v>519</v>
      </c>
    </row>
    <row r="37" spans="1:69" x14ac:dyDescent="0.2">
      <c r="A37" s="20" t="s">
        <v>65</v>
      </c>
      <c r="B37" s="21" t="s">
        <v>66</v>
      </c>
      <c r="C37" s="25"/>
      <c r="D37" s="87">
        <v>181</v>
      </c>
      <c r="E37" s="88">
        <v>143</v>
      </c>
      <c r="F37" s="88">
        <v>148</v>
      </c>
      <c r="G37" s="88">
        <v>35</v>
      </c>
      <c r="H37" s="88">
        <v>75</v>
      </c>
      <c r="I37" s="88">
        <v>72</v>
      </c>
      <c r="J37" s="88">
        <v>107</v>
      </c>
      <c r="K37" s="88">
        <v>49</v>
      </c>
      <c r="L37" s="88">
        <v>49</v>
      </c>
      <c r="M37" s="89">
        <v>96</v>
      </c>
      <c r="N37" s="87">
        <v>96</v>
      </c>
      <c r="O37" s="88">
        <v>78</v>
      </c>
      <c r="P37" s="88">
        <v>87</v>
      </c>
      <c r="Q37" s="88">
        <v>119</v>
      </c>
      <c r="R37" s="88">
        <v>154</v>
      </c>
      <c r="S37" s="88">
        <v>164</v>
      </c>
      <c r="T37" s="88">
        <v>214</v>
      </c>
      <c r="U37" s="88">
        <v>237</v>
      </c>
      <c r="V37" s="88">
        <v>259</v>
      </c>
      <c r="W37" s="89">
        <v>302</v>
      </c>
      <c r="X37" s="87">
        <v>394</v>
      </c>
      <c r="Y37" s="88">
        <v>326</v>
      </c>
      <c r="Z37" s="88">
        <v>280</v>
      </c>
      <c r="AA37" s="88">
        <v>254</v>
      </c>
      <c r="AB37" s="88">
        <v>238</v>
      </c>
      <c r="AC37" s="88">
        <v>266</v>
      </c>
      <c r="AD37" s="88">
        <v>216</v>
      </c>
      <c r="AE37" s="88">
        <v>174</v>
      </c>
      <c r="AF37" s="88">
        <v>141</v>
      </c>
      <c r="AG37" s="89">
        <v>182</v>
      </c>
      <c r="AH37" s="87">
        <v>109</v>
      </c>
      <c r="AI37" s="88">
        <v>150</v>
      </c>
      <c r="AJ37" s="88">
        <v>152</v>
      </c>
      <c r="AK37" s="88">
        <v>181</v>
      </c>
      <c r="AL37" s="88">
        <v>117</v>
      </c>
      <c r="AM37" s="88">
        <v>157</v>
      </c>
      <c r="AN37" s="88">
        <v>148</v>
      </c>
      <c r="AO37" s="88">
        <v>139</v>
      </c>
      <c r="AP37" s="88">
        <v>124</v>
      </c>
      <c r="AQ37" s="89">
        <v>127</v>
      </c>
      <c r="AR37" s="87">
        <v>59</v>
      </c>
      <c r="AS37" s="88">
        <v>119</v>
      </c>
      <c r="AT37" s="88">
        <v>33</v>
      </c>
      <c r="AU37" s="88">
        <v>99</v>
      </c>
      <c r="AV37" s="88">
        <v>80</v>
      </c>
      <c r="AW37" s="88">
        <v>48</v>
      </c>
      <c r="AX37" s="88">
        <v>96</v>
      </c>
      <c r="AY37" s="88">
        <v>91</v>
      </c>
      <c r="AZ37" s="88">
        <v>2</v>
      </c>
      <c r="BA37" s="89">
        <v>35</v>
      </c>
      <c r="BB37" s="30">
        <v>12</v>
      </c>
      <c r="BC37" s="31">
        <v>32</v>
      </c>
      <c r="BD37" s="31">
        <v>9</v>
      </c>
      <c r="BE37" s="67">
        <v>30</v>
      </c>
      <c r="BF37" s="67">
        <v>12</v>
      </c>
      <c r="BG37" s="67">
        <v>-51</v>
      </c>
      <c r="BH37" s="88">
        <v>-30</v>
      </c>
      <c r="BI37" s="88">
        <v>-32</v>
      </c>
      <c r="BJ37" s="88">
        <v>-51</v>
      </c>
      <c r="BK37" s="89">
        <v>-68</v>
      </c>
      <c r="BL37" s="87">
        <v>-107</v>
      </c>
      <c r="BM37" s="88">
        <v>-225</v>
      </c>
      <c r="BN37" s="88">
        <v>-108</v>
      </c>
      <c r="BO37" s="5">
        <f>Births!BO37-Deaths!BO37</f>
        <v>-107</v>
      </c>
      <c r="BP37" s="5">
        <f>Births!BP37-Deaths!BP37</f>
        <v>-81</v>
      </c>
      <c r="BQ37" s="89">
        <f>Births!BQ37-Deaths!BQ37</f>
        <v>-64</v>
      </c>
    </row>
    <row r="38" spans="1:69" x14ac:dyDescent="0.2">
      <c r="A38" s="20" t="s">
        <v>67</v>
      </c>
      <c r="B38" s="21" t="s">
        <v>68</v>
      </c>
      <c r="C38" s="25" t="s">
        <v>2</v>
      </c>
      <c r="D38" s="87">
        <v>843</v>
      </c>
      <c r="E38" s="88">
        <v>794</v>
      </c>
      <c r="F38" s="88">
        <v>820</v>
      </c>
      <c r="G38" s="88">
        <v>745</v>
      </c>
      <c r="H38" s="88">
        <v>735</v>
      </c>
      <c r="I38" s="88">
        <v>518</v>
      </c>
      <c r="J38" s="88">
        <v>491</v>
      </c>
      <c r="K38" s="88">
        <v>491</v>
      </c>
      <c r="L38" s="88">
        <v>642</v>
      </c>
      <c r="M38" s="89">
        <v>677</v>
      </c>
      <c r="N38" s="87">
        <v>776</v>
      </c>
      <c r="O38" s="88">
        <v>663</v>
      </c>
      <c r="P38" s="88">
        <v>534</v>
      </c>
      <c r="Q38" s="88">
        <v>493</v>
      </c>
      <c r="R38" s="88">
        <v>659</v>
      </c>
      <c r="S38" s="88">
        <v>708</v>
      </c>
      <c r="T38" s="88">
        <v>873</v>
      </c>
      <c r="U38" s="88">
        <v>841</v>
      </c>
      <c r="V38" s="88">
        <v>897</v>
      </c>
      <c r="W38" s="89">
        <v>1086</v>
      </c>
      <c r="X38" s="87">
        <v>1383</v>
      </c>
      <c r="Y38" s="88">
        <v>1196</v>
      </c>
      <c r="Z38" s="88">
        <v>1193</v>
      </c>
      <c r="AA38" s="88">
        <v>1154</v>
      </c>
      <c r="AB38" s="88">
        <v>1181</v>
      </c>
      <c r="AC38" s="88">
        <v>1210</v>
      </c>
      <c r="AD38" s="88">
        <v>1087</v>
      </c>
      <c r="AE38" s="88">
        <v>1046</v>
      </c>
      <c r="AF38" s="88">
        <v>1095</v>
      </c>
      <c r="AG38" s="89">
        <v>1237</v>
      </c>
      <c r="AH38" s="87">
        <v>1192</v>
      </c>
      <c r="AI38" s="88">
        <v>1275</v>
      </c>
      <c r="AJ38" s="88">
        <v>1209</v>
      </c>
      <c r="AK38" s="88">
        <v>1224</v>
      </c>
      <c r="AL38" s="88">
        <v>1089</v>
      </c>
      <c r="AM38" s="88">
        <v>1014</v>
      </c>
      <c r="AN38" s="88">
        <v>997</v>
      </c>
      <c r="AO38" s="88">
        <v>1009</v>
      </c>
      <c r="AP38" s="88">
        <v>908</v>
      </c>
      <c r="AQ38" s="89">
        <v>999</v>
      </c>
      <c r="AR38" s="87">
        <v>1078</v>
      </c>
      <c r="AS38" s="88">
        <v>809</v>
      </c>
      <c r="AT38" s="88">
        <v>867</v>
      </c>
      <c r="AU38" s="88">
        <v>967</v>
      </c>
      <c r="AV38" s="88">
        <v>936</v>
      </c>
      <c r="AW38" s="88">
        <v>898</v>
      </c>
      <c r="AX38" s="88">
        <v>1034</v>
      </c>
      <c r="AY38" s="88">
        <v>1047</v>
      </c>
      <c r="AZ38" s="88">
        <v>1339</v>
      </c>
      <c r="BA38" s="89">
        <v>1278</v>
      </c>
      <c r="BB38" s="30">
        <v>1078</v>
      </c>
      <c r="BC38" s="31">
        <v>1204</v>
      </c>
      <c r="BD38" s="31">
        <v>1083</v>
      </c>
      <c r="BE38" s="67">
        <v>1146</v>
      </c>
      <c r="BF38" s="67">
        <v>1043</v>
      </c>
      <c r="BG38" s="67">
        <v>895</v>
      </c>
      <c r="BH38" s="88">
        <v>956</v>
      </c>
      <c r="BI38" s="88">
        <v>764</v>
      </c>
      <c r="BJ38" s="88">
        <v>671</v>
      </c>
      <c r="BK38" s="89">
        <v>617</v>
      </c>
      <c r="BL38" s="87">
        <v>499</v>
      </c>
      <c r="BM38" s="88">
        <v>-25</v>
      </c>
      <c r="BN38" s="88">
        <v>-53</v>
      </c>
      <c r="BO38" s="5">
        <f>Births!BO38-Deaths!BO38</f>
        <v>196</v>
      </c>
      <c r="BP38" s="5">
        <f>Births!BP38-Deaths!BP38</f>
        <v>202</v>
      </c>
      <c r="BQ38" s="89">
        <f>Births!BQ38-Deaths!BQ38</f>
        <v>53</v>
      </c>
    </row>
    <row r="39" spans="1:69" x14ac:dyDescent="0.2">
      <c r="A39" s="20" t="s">
        <v>69</v>
      </c>
      <c r="B39" s="21" t="s">
        <v>70</v>
      </c>
      <c r="C39" s="25" t="s">
        <v>2</v>
      </c>
      <c r="D39" s="87">
        <v>26</v>
      </c>
      <c r="E39" s="88">
        <v>36</v>
      </c>
      <c r="F39" s="88">
        <v>6</v>
      </c>
      <c r="G39" s="88">
        <v>2</v>
      </c>
      <c r="H39" s="88">
        <v>29</v>
      </c>
      <c r="I39" s="88">
        <v>31</v>
      </c>
      <c r="J39" s="88">
        <v>-8</v>
      </c>
      <c r="K39" s="88">
        <v>8</v>
      </c>
      <c r="L39" s="88">
        <v>11</v>
      </c>
      <c r="M39" s="89">
        <v>8</v>
      </c>
      <c r="N39" s="87">
        <v>12</v>
      </c>
      <c r="O39" s="88">
        <v>23</v>
      </c>
      <c r="P39" s="88">
        <v>6</v>
      </c>
      <c r="Q39" s="88">
        <v>20</v>
      </c>
      <c r="R39" s="88">
        <v>8</v>
      </c>
      <c r="S39" s="88">
        <v>41</v>
      </c>
      <c r="T39" s="88">
        <v>9</v>
      </c>
      <c r="U39" s="88">
        <v>24</v>
      </c>
      <c r="V39" s="88">
        <v>22</v>
      </c>
      <c r="W39" s="89">
        <v>20</v>
      </c>
      <c r="X39" s="87">
        <v>6</v>
      </c>
      <c r="Y39" s="88">
        <v>5</v>
      </c>
      <c r="Z39" s="88">
        <v>13</v>
      </c>
      <c r="AA39" s="88">
        <v>6</v>
      </c>
      <c r="AB39" s="88">
        <v>-13</v>
      </c>
      <c r="AC39" s="88">
        <v>-10</v>
      </c>
      <c r="AD39" s="88">
        <v>4</v>
      </c>
      <c r="AE39" s="88">
        <v>-3</v>
      </c>
      <c r="AF39" s="88">
        <v>5</v>
      </c>
      <c r="AG39" s="89">
        <v>0</v>
      </c>
      <c r="AH39" s="87">
        <v>-6</v>
      </c>
      <c r="AI39" s="88">
        <v>-10</v>
      </c>
      <c r="AJ39" s="88">
        <v>-15</v>
      </c>
      <c r="AK39" s="88">
        <v>-8</v>
      </c>
      <c r="AL39" s="88">
        <v>9</v>
      </c>
      <c r="AM39" s="88">
        <v>-14</v>
      </c>
      <c r="AN39" s="88">
        <v>-2</v>
      </c>
      <c r="AO39" s="88">
        <v>-11</v>
      </c>
      <c r="AP39" s="88">
        <v>-18</v>
      </c>
      <c r="AQ39" s="89">
        <v>-6</v>
      </c>
      <c r="AR39" s="87">
        <v>-19</v>
      </c>
      <c r="AS39" s="88">
        <v>-18</v>
      </c>
      <c r="AT39" s="88">
        <v>-38</v>
      </c>
      <c r="AU39" s="88">
        <v>-26</v>
      </c>
      <c r="AV39" s="88">
        <v>-11</v>
      </c>
      <c r="AW39" s="88">
        <v>-10</v>
      </c>
      <c r="AX39" s="88">
        <v>-17</v>
      </c>
      <c r="AY39" s="88">
        <v>-24</v>
      </c>
      <c r="AZ39" s="88">
        <v>-26</v>
      </c>
      <c r="BA39" s="89">
        <v>-12</v>
      </c>
      <c r="BB39" s="30">
        <v>-14</v>
      </c>
      <c r="BC39" s="31">
        <v>-25</v>
      </c>
      <c r="BD39" s="31">
        <v>-13</v>
      </c>
      <c r="BE39" s="67">
        <v>-20</v>
      </c>
      <c r="BF39" s="67">
        <v>-31</v>
      </c>
      <c r="BG39" s="67">
        <v>-17</v>
      </c>
      <c r="BH39" s="88">
        <v>-23</v>
      </c>
      <c r="BI39" s="88">
        <v>-12</v>
      </c>
      <c r="BJ39" s="88">
        <v>-31</v>
      </c>
      <c r="BK39" s="89">
        <v>-39</v>
      </c>
      <c r="BL39" s="87">
        <v>-24</v>
      </c>
      <c r="BM39" s="88">
        <v>-30</v>
      </c>
      <c r="BN39" s="88">
        <v>-39</v>
      </c>
      <c r="BO39" s="5">
        <f>Births!BO39-Deaths!BO39</f>
        <v>-40</v>
      </c>
      <c r="BP39" s="5">
        <f>Births!BP39-Deaths!BP39</f>
        <v>-45</v>
      </c>
      <c r="BQ39" s="89">
        <f>Births!BQ39-Deaths!BQ39</f>
        <v>-19</v>
      </c>
    </row>
    <row r="40" spans="1:69" x14ac:dyDescent="0.2">
      <c r="A40" s="20" t="s">
        <v>71</v>
      </c>
      <c r="B40" s="21" t="s">
        <v>72</v>
      </c>
      <c r="C40" s="25" t="s">
        <v>2</v>
      </c>
      <c r="D40" s="87">
        <v>381</v>
      </c>
      <c r="E40" s="88">
        <v>329</v>
      </c>
      <c r="F40" s="88">
        <v>372</v>
      </c>
      <c r="G40" s="88">
        <v>273</v>
      </c>
      <c r="H40" s="88">
        <v>248</v>
      </c>
      <c r="I40" s="88">
        <v>138</v>
      </c>
      <c r="J40" s="88">
        <v>179</v>
      </c>
      <c r="K40" s="88">
        <v>142</v>
      </c>
      <c r="L40" s="88">
        <v>151</v>
      </c>
      <c r="M40" s="89">
        <v>164</v>
      </c>
      <c r="N40" s="87">
        <v>142</v>
      </c>
      <c r="O40" s="88">
        <v>65</v>
      </c>
      <c r="P40" s="88">
        <v>31</v>
      </c>
      <c r="Q40" s="88">
        <v>10</v>
      </c>
      <c r="R40" s="88">
        <v>22</v>
      </c>
      <c r="S40" s="88">
        <v>58</v>
      </c>
      <c r="T40" s="88">
        <v>137</v>
      </c>
      <c r="U40" s="88">
        <v>123</v>
      </c>
      <c r="V40" s="88">
        <v>208</v>
      </c>
      <c r="W40" s="89">
        <v>239</v>
      </c>
      <c r="X40" s="87">
        <v>237</v>
      </c>
      <c r="Y40" s="88">
        <v>309</v>
      </c>
      <c r="Z40" s="88">
        <v>289</v>
      </c>
      <c r="AA40" s="88">
        <v>239</v>
      </c>
      <c r="AB40" s="88">
        <v>131</v>
      </c>
      <c r="AC40" s="88">
        <v>166</v>
      </c>
      <c r="AD40" s="88">
        <v>161</v>
      </c>
      <c r="AE40" s="88">
        <v>115</v>
      </c>
      <c r="AF40" s="88">
        <v>141</v>
      </c>
      <c r="AG40" s="89">
        <v>170</v>
      </c>
      <c r="AH40" s="87">
        <v>202</v>
      </c>
      <c r="AI40" s="88">
        <v>274</v>
      </c>
      <c r="AJ40" s="88">
        <v>163</v>
      </c>
      <c r="AK40" s="88">
        <v>242</v>
      </c>
      <c r="AL40" s="88">
        <v>204</v>
      </c>
      <c r="AM40" s="88">
        <v>245</v>
      </c>
      <c r="AN40" s="88">
        <v>229</v>
      </c>
      <c r="AO40" s="88">
        <v>183</v>
      </c>
      <c r="AP40" s="88">
        <v>188</v>
      </c>
      <c r="AQ40" s="89">
        <v>136</v>
      </c>
      <c r="AR40" s="87">
        <v>156</v>
      </c>
      <c r="AS40" s="88">
        <v>199</v>
      </c>
      <c r="AT40" s="88">
        <v>131</v>
      </c>
      <c r="AU40" s="88">
        <v>203</v>
      </c>
      <c r="AV40" s="88">
        <v>189</v>
      </c>
      <c r="AW40" s="88">
        <v>162</v>
      </c>
      <c r="AX40" s="88">
        <v>120</v>
      </c>
      <c r="AY40" s="88">
        <v>135</v>
      </c>
      <c r="AZ40" s="88">
        <v>171</v>
      </c>
      <c r="BA40" s="89">
        <v>65</v>
      </c>
      <c r="BB40" s="30">
        <v>173</v>
      </c>
      <c r="BC40" s="31">
        <v>155</v>
      </c>
      <c r="BD40" s="31">
        <v>118</v>
      </c>
      <c r="BE40" s="67">
        <v>131</v>
      </c>
      <c r="BF40" s="67">
        <v>95</v>
      </c>
      <c r="BG40" s="67">
        <v>42</v>
      </c>
      <c r="BH40" s="88">
        <v>59</v>
      </c>
      <c r="BI40" s="88">
        <v>-2</v>
      </c>
      <c r="BJ40" s="88">
        <v>53</v>
      </c>
      <c r="BK40" s="89">
        <v>34</v>
      </c>
      <c r="BL40" s="87">
        <v>-90</v>
      </c>
      <c r="BM40" s="88">
        <v>-154</v>
      </c>
      <c r="BN40" s="88">
        <v>-191</v>
      </c>
      <c r="BO40" s="5">
        <f>Births!BO40-Deaths!BO40</f>
        <v>-126</v>
      </c>
      <c r="BP40" s="5">
        <f>Births!BP40-Deaths!BP40</f>
        <v>-121</v>
      </c>
      <c r="BQ40" s="89">
        <f>Births!BQ40-Deaths!BQ40</f>
        <v>-93</v>
      </c>
    </row>
    <row r="41" spans="1:69" x14ac:dyDescent="0.2">
      <c r="A41" s="20" t="s">
        <v>73</v>
      </c>
      <c r="B41" s="21" t="s">
        <v>74</v>
      </c>
      <c r="C41" s="25" t="s">
        <v>2</v>
      </c>
      <c r="D41" s="87">
        <v>589</v>
      </c>
      <c r="E41" s="88">
        <v>585</v>
      </c>
      <c r="F41" s="88">
        <v>521</v>
      </c>
      <c r="G41" s="88">
        <v>519</v>
      </c>
      <c r="H41" s="88">
        <v>306</v>
      </c>
      <c r="I41" s="88">
        <v>236</v>
      </c>
      <c r="J41" s="88">
        <v>253</v>
      </c>
      <c r="K41" s="88">
        <v>319</v>
      </c>
      <c r="L41" s="88">
        <v>401</v>
      </c>
      <c r="M41" s="89">
        <v>517</v>
      </c>
      <c r="N41" s="87">
        <v>564</v>
      </c>
      <c r="O41" s="88">
        <v>515</v>
      </c>
      <c r="P41" s="88">
        <v>321</v>
      </c>
      <c r="Q41" s="88">
        <v>436</v>
      </c>
      <c r="R41" s="88">
        <v>438</v>
      </c>
      <c r="S41" s="88">
        <v>463</v>
      </c>
      <c r="T41" s="88">
        <v>628</v>
      </c>
      <c r="U41" s="88">
        <v>636</v>
      </c>
      <c r="V41" s="88">
        <v>784</v>
      </c>
      <c r="W41" s="89">
        <v>793</v>
      </c>
      <c r="X41" s="87">
        <v>889</v>
      </c>
      <c r="Y41" s="88">
        <v>893</v>
      </c>
      <c r="Z41" s="88">
        <v>791</v>
      </c>
      <c r="AA41" s="88">
        <v>861</v>
      </c>
      <c r="AB41" s="88">
        <v>787</v>
      </c>
      <c r="AC41" s="88">
        <v>712</v>
      </c>
      <c r="AD41" s="88">
        <v>738</v>
      </c>
      <c r="AE41" s="88">
        <v>651</v>
      </c>
      <c r="AF41" s="88">
        <v>819</v>
      </c>
      <c r="AG41" s="89">
        <v>800</v>
      </c>
      <c r="AH41" s="87">
        <v>827</v>
      </c>
      <c r="AI41" s="88">
        <v>913</v>
      </c>
      <c r="AJ41" s="88">
        <v>886</v>
      </c>
      <c r="AK41" s="88">
        <v>879</v>
      </c>
      <c r="AL41" s="88">
        <v>838</v>
      </c>
      <c r="AM41" s="88">
        <v>723</v>
      </c>
      <c r="AN41" s="88">
        <v>748</v>
      </c>
      <c r="AO41" s="88">
        <v>892</v>
      </c>
      <c r="AP41" s="88">
        <v>854</v>
      </c>
      <c r="AQ41" s="89">
        <v>809</v>
      </c>
      <c r="AR41" s="87">
        <v>806</v>
      </c>
      <c r="AS41" s="88">
        <v>749</v>
      </c>
      <c r="AT41" s="88">
        <v>690</v>
      </c>
      <c r="AU41" s="88">
        <v>772</v>
      </c>
      <c r="AV41" s="88">
        <v>648</v>
      </c>
      <c r="AW41" s="88">
        <v>882</v>
      </c>
      <c r="AX41" s="88">
        <v>868</v>
      </c>
      <c r="AY41" s="88">
        <v>783</v>
      </c>
      <c r="AZ41" s="88">
        <v>828</v>
      </c>
      <c r="BA41" s="89">
        <v>838</v>
      </c>
      <c r="BB41" s="30">
        <v>841</v>
      </c>
      <c r="BC41" s="31">
        <v>886</v>
      </c>
      <c r="BD41" s="31">
        <v>649</v>
      </c>
      <c r="BE41" s="67">
        <v>684</v>
      </c>
      <c r="BF41" s="67">
        <v>799</v>
      </c>
      <c r="BG41" s="67">
        <v>698</v>
      </c>
      <c r="BH41" s="88">
        <v>524</v>
      </c>
      <c r="BI41" s="88">
        <v>581</v>
      </c>
      <c r="BJ41" s="88">
        <v>347</v>
      </c>
      <c r="BK41" s="89">
        <v>136</v>
      </c>
      <c r="BL41" s="87">
        <v>74</v>
      </c>
      <c r="BM41" s="88">
        <v>-101</v>
      </c>
      <c r="BN41" s="88">
        <v>-170</v>
      </c>
      <c r="BO41" s="5">
        <f>Births!BO41-Deaths!BO41</f>
        <v>-4</v>
      </c>
      <c r="BP41" s="5">
        <f>Births!BP41-Deaths!BP41</f>
        <v>-131</v>
      </c>
      <c r="BQ41" s="89">
        <f>Births!BQ41-Deaths!BQ41</f>
        <v>-67</v>
      </c>
    </row>
    <row r="42" spans="1:69" x14ac:dyDescent="0.2">
      <c r="A42" s="20" t="s">
        <v>75</v>
      </c>
      <c r="B42" s="21" t="s">
        <v>76</v>
      </c>
      <c r="C42" s="25"/>
      <c r="D42" s="87">
        <v>460</v>
      </c>
      <c r="E42" s="88">
        <v>440</v>
      </c>
      <c r="F42" s="88">
        <v>393</v>
      </c>
      <c r="G42" s="88">
        <v>364</v>
      </c>
      <c r="H42" s="88">
        <v>308</v>
      </c>
      <c r="I42" s="88">
        <v>232</v>
      </c>
      <c r="J42" s="88">
        <v>265</v>
      </c>
      <c r="K42" s="88">
        <v>255</v>
      </c>
      <c r="L42" s="88">
        <v>309</v>
      </c>
      <c r="M42" s="89">
        <v>337</v>
      </c>
      <c r="N42" s="87">
        <v>311</v>
      </c>
      <c r="O42" s="88">
        <v>252</v>
      </c>
      <c r="P42" s="88">
        <v>234</v>
      </c>
      <c r="Q42" s="88">
        <v>213</v>
      </c>
      <c r="R42" s="88">
        <v>189</v>
      </c>
      <c r="S42" s="88">
        <v>210</v>
      </c>
      <c r="T42" s="88">
        <v>295</v>
      </c>
      <c r="U42" s="88">
        <v>260</v>
      </c>
      <c r="V42" s="88">
        <v>211</v>
      </c>
      <c r="W42" s="89">
        <v>249</v>
      </c>
      <c r="X42" s="87">
        <v>287</v>
      </c>
      <c r="Y42" s="88">
        <v>300</v>
      </c>
      <c r="Z42" s="88">
        <v>236</v>
      </c>
      <c r="AA42" s="88">
        <v>202</v>
      </c>
      <c r="AB42" s="88">
        <v>325</v>
      </c>
      <c r="AC42" s="88">
        <v>199</v>
      </c>
      <c r="AD42" s="88">
        <v>205</v>
      </c>
      <c r="AE42" s="88">
        <v>164</v>
      </c>
      <c r="AF42" s="88">
        <v>189</v>
      </c>
      <c r="AG42" s="89">
        <v>167</v>
      </c>
      <c r="AH42" s="87">
        <v>216</v>
      </c>
      <c r="AI42" s="88">
        <v>240</v>
      </c>
      <c r="AJ42" s="88">
        <v>184</v>
      </c>
      <c r="AK42" s="88">
        <v>200</v>
      </c>
      <c r="AL42" s="88">
        <v>164</v>
      </c>
      <c r="AM42" s="88">
        <v>233</v>
      </c>
      <c r="AN42" s="88">
        <v>171</v>
      </c>
      <c r="AO42" s="88">
        <v>186</v>
      </c>
      <c r="AP42" s="88">
        <v>189</v>
      </c>
      <c r="AQ42" s="89">
        <v>207</v>
      </c>
      <c r="AR42" s="87">
        <v>149</v>
      </c>
      <c r="AS42" s="88">
        <v>158</v>
      </c>
      <c r="AT42" s="88">
        <v>222</v>
      </c>
      <c r="AU42" s="88">
        <v>173</v>
      </c>
      <c r="AV42" s="88">
        <v>187</v>
      </c>
      <c r="AW42" s="88">
        <v>194</v>
      </c>
      <c r="AX42" s="88">
        <v>200</v>
      </c>
      <c r="AY42" s="88">
        <v>235</v>
      </c>
      <c r="AZ42" s="88">
        <v>191</v>
      </c>
      <c r="BA42" s="89">
        <v>197</v>
      </c>
      <c r="BB42" s="30">
        <v>196</v>
      </c>
      <c r="BC42" s="31">
        <v>179</v>
      </c>
      <c r="BD42" s="31">
        <v>237</v>
      </c>
      <c r="BE42" s="67">
        <v>188</v>
      </c>
      <c r="BF42" s="67">
        <v>158</v>
      </c>
      <c r="BG42" s="67">
        <v>138</v>
      </c>
      <c r="BH42" s="88">
        <v>170</v>
      </c>
      <c r="BI42" s="88">
        <v>110</v>
      </c>
      <c r="BJ42" s="88">
        <v>97</v>
      </c>
      <c r="BK42" s="89">
        <v>99</v>
      </c>
      <c r="BL42" s="87">
        <v>26</v>
      </c>
      <c r="BM42" s="88">
        <v>13</v>
      </c>
      <c r="BN42" s="88">
        <v>101</v>
      </c>
      <c r="BO42" s="5">
        <f>Births!BO42-Deaths!BO42</f>
        <v>53</v>
      </c>
      <c r="BP42" s="5">
        <f>Births!BP42-Deaths!BP42</f>
        <v>70</v>
      </c>
      <c r="BQ42" s="89">
        <f>Births!BQ42-Deaths!BQ42</f>
        <v>70</v>
      </c>
    </row>
    <row r="43" spans="1:69" x14ac:dyDescent="0.2">
      <c r="A43" s="20" t="s">
        <v>77</v>
      </c>
      <c r="B43" s="21" t="s">
        <v>78</v>
      </c>
      <c r="C43" s="25" t="s">
        <v>2</v>
      </c>
      <c r="D43" s="87">
        <v>1887</v>
      </c>
      <c r="E43" s="88">
        <v>1925</v>
      </c>
      <c r="F43" s="88">
        <v>1818</v>
      </c>
      <c r="G43" s="88">
        <v>1622</v>
      </c>
      <c r="H43" s="88">
        <v>1634</v>
      </c>
      <c r="I43" s="88">
        <v>1251</v>
      </c>
      <c r="J43" s="88">
        <v>1119</v>
      </c>
      <c r="K43" s="88">
        <v>1077</v>
      </c>
      <c r="L43" s="88">
        <v>1131</v>
      </c>
      <c r="M43" s="89">
        <v>1112</v>
      </c>
      <c r="N43" s="98">
        <v>1456</v>
      </c>
      <c r="O43" s="99">
        <v>1092</v>
      </c>
      <c r="P43" s="99">
        <v>902</v>
      </c>
      <c r="Q43" s="99">
        <v>931</v>
      </c>
      <c r="R43" s="99">
        <v>944</v>
      </c>
      <c r="S43" s="99">
        <v>1218</v>
      </c>
      <c r="T43" s="99">
        <v>1501</v>
      </c>
      <c r="U43" s="99">
        <v>1665</v>
      </c>
      <c r="V43" s="99">
        <v>1452</v>
      </c>
      <c r="W43" s="100">
        <v>1863</v>
      </c>
      <c r="X43" s="87">
        <v>1764</v>
      </c>
      <c r="Y43" s="88">
        <v>1892</v>
      </c>
      <c r="Z43" s="88">
        <v>1815</v>
      </c>
      <c r="AA43" s="88">
        <v>1817</v>
      </c>
      <c r="AB43" s="88">
        <v>1713</v>
      </c>
      <c r="AC43" s="88">
        <v>1770</v>
      </c>
      <c r="AD43" s="88">
        <v>1883</v>
      </c>
      <c r="AE43" s="88">
        <v>1722</v>
      </c>
      <c r="AF43" s="88">
        <v>1988</v>
      </c>
      <c r="AG43" s="89">
        <v>2100</v>
      </c>
      <c r="AH43" s="87">
        <v>2508</v>
      </c>
      <c r="AI43" s="88">
        <v>2714</v>
      </c>
      <c r="AJ43" s="88">
        <v>2635</v>
      </c>
      <c r="AK43" s="88">
        <v>2658</v>
      </c>
      <c r="AL43" s="88">
        <v>2559</v>
      </c>
      <c r="AM43" s="88">
        <v>2470</v>
      </c>
      <c r="AN43" s="88">
        <v>2459</v>
      </c>
      <c r="AO43" s="88">
        <v>2509</v>
      </c>
      <c r="AP43" s="88">
        <v>2616</v>
      </c>
      <c r="AQ43" s="89">
        <v>2507</v>
      </c>
      <c r="AR43" s="87">
        <v>2542</v>
      </c>
      <c r="AS43" s="88">
        <v>2358</v>
      </c>
      <c r="AT43" s="88">
        <v>2296</v>
      </c>
      <c r="AU43" s="88">
        <v>2416</v>
      </c>
      <c r="AV43" s="88">
        <v>2399</v>
      </c>
      <c r="AW43" s="88">
        <v>2360</v>
      </c>
      <c r="AX43" s="88">
        <v>2713</v>
      </c>
      <c r="AY43" s="88">
        <v>2754</v>
      </c>
      <c r="AZ43" s="88">
        <v>2575</v>
      </c>
      <c r="BA43" s="89">
        <v>2601</v>
      </c>
      <c r="BB43" s="30">
        <v>2573</v>
      </c>
      <c r="BC43" s="31">
        <v>2412</v>
      </c>
      <c r="BD43" s="31">
        <v>2140</v>
      </c>
      <c r="BE43" s="67">
        <v>2202</v>
      </c>
      <c r="BF43" s="67">
        <v>2216</v>
      </c>
      <c r="BG43" s="67">
        <v>2048</v>
      </c>
      <c r="BH43" s="88">
        <v>1796</v>
      </c>
      <c r="BI43" s="88">
        <v>1727</v>
      </c>
      <c r="BJ43" s="88">
        <v>1554</v>
      </c>
      <c r="BK43" s="89">
        <v>1456</v>
      </c>
      <c r="BL43" s="87">
        <v>889</v>
      </c>
      <c r="BM43" s="88">
        <v>774</v>
      </c>
      <c r="BN43" s="88">
        <v>1048</v>
      </c>
      <c r="BO43" s="5">
        <f>Births!BO43-Deaths!BO43</f>
        <v>891</v>
      </c>
      <c r="BP43" s="5">
        <f>Births!BP43-Deaths!BP43</f>
        <v>1161</v>
      </c>
      <c r="BQ43" s="89">
        <f>Births!BQ43-Deaths!BQ43</f>
        <v>1284</v>
      </c>
    </row>
    <row r="44" spans="1:69" x14ac:dyDescent="0.2">
      <c r="A44" s="22" t="s">
        <v>79</v>
      </c>
      <c r="B44" s="23" t="s">
        <v>80</v>
      </c>
      <c r="C44" s="26" t="s">
        <v>2</v>
      </c>
      <c r="D44" s="90">
        <v>39571</v>
      </c>
      <c r="E44" s="91">
        <v>38023</v>
      </c>
      <c r="F44" s="91">
        <v>36718</v>
      </c>
      <c r="G44" s="91">
        <v>32244</v>
      </c>
      <c r="H44" s="91">
        <v>28600</v>
      </c>
      <c r="I44" s="91">
        <v>24035</v>
      </c>
      <c r="J44" s="91">
        <v>24106</v>
      </c>
      <c r="K44" s="91">
        <v>24822</v>
      </c>
      <c r="L44" s="91">
        <v>27418</v>
      </c>
      <c r="M44" s="92">
        <v>29964</v>
      </c>
      <c r="N44" s="101">
        <v>30276</v>
      </c>
      <c r="O44" s="102">
        <v>22665</v>
      </c>
      <c r="P44" s="102">
        <v>17323</v>
      </c>
      <c r="Q44" s="102">
        <v>18232</v>
      </c>
      <c r="R44" s="102">
        <v>19787</v>
      </c>
      <c r="S44" s="102">
        <v>21225</v>
      </c>
      <c r="T44" s="102">
        <v>25054</v>
      </c>
      <c r="U44" s="102">
        <v>26848</v>
      </c>
      <c r="V44" s="102">
        <v>30050</v>
      </c>
      <c r="W44" s="103">
        <v>34044</v>
      </c>
      <c r="X44" s="90">
        <v>36312</v>
      </c>
      <c r="Y44" s="91">
        <v>38532</v>
      </c>
      <c r="Z44" s="91">
        <v>37044</v>
      </c>
      <c r="AA44" s="91">
        <v>35317</v>
      </c>
      <c r="AB44" s="91">
        <v>35168</v>
      </c>
      <c r="AC44" s="91">
        <v>36312</v>
      </c>
      <c r="AD44" s="91">
        <v>35044</v>
      </c>
      <c r="AE44" s="91">
        <v>35101</v>
      </c>
      <c r="AF44" s="91">
        <v>37158</v>
      </c>
      <c r="AG44" s="92">
        <v>40324</v>
      </c>
      <c r="AH44" s="90">
        <v>42616</v>
      </c>
      <c r="AI44" s="91">
        <v>43333</v>
      </c>
      <c r="AJ44" s="91">
        <v>40148</v>
      </c>
      <c r="AK44" s="91">
        <v>38714</v>
      </c>
      <c r="AL44" s="91">
        <v>37496</v>
      </c>
      <c r="AM44" s="91">
        <v>35856</v>
      </c>
      <c r="AN44" s="91">
        <v>35403</v>
      </c>
      <c r="AO44" s="91">
        <v>37264</v>
      </c>
      <c r="AP44" s="91">
        <v>36613</v>
      </c>
      <c r="AQ44" s="92">
        <v>36110</v>
      </c>
      <c r="AR44" s="90">
        <v>36809</v>
      </c>
      <c r="AS44" s="91">
        <v>34391</v>
      </c>
      <c r="AT44" s="91">
        <v>34338</v>
      </c>
      <c r="AU44" s="91">
        <v>34932</v>
      </c>
      <c r="AV44" s="91">
        <v>36236</v>
      </c>
      <c r="AW44" s="91">
        <v>37888</v>
      </c>
      <c r="AX44" s="91">
        <v>41591</v>
      </c>
      <c r="AY44" s="91">
        <v>41621</v>
      </c>
      <c r="AZ44" s="91">
        <v>41722</v>
      </c>
      <c r="BA44" s="92">
        <v>40736</v>
      </c>
      <c r="BB44" s="33">
        <v>37597</v>
      </c>
      <c r="BC44" s="34">
        <v>37903</v>
      </c>
      <c r="BD44" s="34">
        <v>36141</v>
      </c>
      <c r="BE44" s="68">
        <v>36315</v>
      </c>
      <c r="BF44" s="68">
        <v>35631</v>
      </c>
      <c r="BG44" s="68">
        <v>35158</v>
      </c>
      <c r="BH44" s="91">
        <v>33589</v>
      </c>
      <c r="BI44" s="91">
        <v>30974</v>
      </c>
      <c r="BJ44" s="91">
        <v>28503</v>
      </c>
      <c r="BK44" s="92">
        <v>26323</v>
      </c>
      <c r="BL44" s="90">
        <v>18122</v>
      </c>
      <c r="BM44" s="91">
        <v>13750</v>
      </c>
      <c r="BN44" s="91">
        <v>14696</v>
      </c>
      <c r="BO44" s="102">
        <f>Births!BO44-Deaths!BO44</f>
        <v>15600</v>
      </c>
      <c r="BP44" s="102">
        <f>Births!BP44-Deaths!BP44</f>
        <v>17076</v>
      </c>
      <c r="BQ44" s="92">
        <f>Births!BQ44-Deaths!BQ44</f>
        <v>17330</v>
      </c>
    </row>
  </sheetData>
  <pageMargins left="0.5" right="0.5" top="0.5" bottom="0.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47"/>
  <sheetViews>
    <sheetView workbookViewId="0">
      <pane xSplit="2" ySplit="4" topLeftCell="C5" activePane="bottomRight" state="frozenSplit"/>
      <selection activeCell="C5" sqref="C5"/>
      <selection pane="topRight" activeCell="C5" sqref="C5"/>
      <selection pane="bottomLeft" activeCell="C5" sqref="C5"/>
      <selection pane="bottomRight"/>
    </sheetView>
  </sheetViews>
  <sheetFormatPr defaultColWidth="9.33203125" defaultRowHeight="11.25" x14ac:dyDescent="0.2"/>
  <cols>
    <col min="1" max="1" width="12.1640625" style="3" bestFit="1" customWidth="1"/>
    <col min="2" max="2" width="18.6640625" style="3" bestFit="1" customWidth="1"/>
    <col min="3" max="3" width="10.6640625" style="4" bestFit="1" customWidth="1"/>
    <col min="4" max="22" width="11.83203125" style="4" customWidth="1"/>
    <col min="23" max="23" width="11.83203125" style="5" customWidth="1"/>
    <col min="24" max="62" width="11.83203125" style="4" customWidth="1"/>
    <col min="63" max="69" width="11.83203125" style="6" customWidth="1"/>
    <col min="70" max="16384" width="9.33203125" style="6"/>
  </cols>
  <sheetData>
    <row r="1" spans="1:69" s="9" customFormat="1" ht="12" x14ac:dyDescent="0.2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AM1" s="11"/>
    </row>
    <row r="2" spans="1:69" s="9" customFormat="1" ht="12" x14ac:dyDescent="0.2">
      <c r="A2" s="8" t="s">
        <v>356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W2" s="10"/>
      <c r="AG2" s="10"/>
      <c r="AH2" s="10"/>
      <c r="AM2" s="11"/>
      <c r="AQ2" s="10"/>
    </row>
    <row r="4" spans="1:69" s="7" customFormat="1" ht="57.95" customHeight="1" x14ac:dyDescent="0.2">
      <c r="A4" s="18" t="s">
        <v>81</v>
      </c>
      <c r="B4" s="19" t="s">
        <v>82</v>
      </c>
      <c r="C4" s="24" t="s">
        <v>361</v>
      </c>
      <c r="D4" s="97" t="s">
        <v>218</v>
      </c>
      <c r="E4" s="72" t="s">
        <v>219</v>
      </c>
      <c r="F4" s="72" t="s">
        <v>220</v>
      </c>
      <c r="G4" s="72" t="s">
        <v>221</v>
      </c>
      <c r="H4" s="72" t="s">
        <v>222</v>
      </c>
      <c r="I4" s="72" t="s">
        <v>223</v>
      </c>
      <c r="J4" s="72" t="s">
        <v>224</v>
      </c>
      <c r="K4" s="72" t="s">
        <v>225</v>
      </c>
      <c r="L4" s="72" t="s">
        <v>226</v>
      </c>
      <c r="M4" s="66" t="s">
        <v>227</v>
      </c>
      <c r="N4" s="97" t="s">
        <v>228</v>
      </c>
      <c r="O4" s="72" t="s">
        <v>229</v>
      </c>
      <c r="P4" s="72" t="s">
        <v>230</v>
      </c>
      <c r="Q4" s="72" t="s">
        <v>231</v>
      </c>
      <c r="R4" s="72" t="s">
        <v>232</v>
      </c>
      <c r="S4" s="72" t="s">
        <v>233</v>
      </c>
      <c r="T4" s="72" t="s">
        <v>234</v>
      </c>
      <c r="U4" s="72" t="s">
        <v>235</v>
      </c>
      <c r="V4" s="72" t="s">
        <v>236</v>
      </c>
      <c r="W4" s="66" t="s">
        <v>237</v>
      </c>
      <c r="X4" s="97" t="s">
        <v>238</v>
      </c>
      <c r="Y4" s="72" t="s">
        <v>239</v>
      </c>
      <c r="Z4" s="72" t="s">
        <v>240</v>
      </c>
      <c r="AA4" s="72" t="s">
        <v>241</v>
      </c>
      <c r="AB4" s="72" t="s">
        <v>242</v>
      </c>
      <c r="AC4" s="72" t="s">
        <v>243</v>
      </c>
      <c r="AD4" s="72" t="s">
        <v>244</v>
      </c>
      <c r="AE4" s="72" t="s">
        <v>245</v>
      </c>
      <c r="AF4" s="72" t="s">
        <v>246</v>
      </c>
      <c r="AG4" s="66" t="s">
        <v>247</v>
      </c>
      <c r="AH4" s="97" t="s">
        <v>248</v>
      </c>
      <c r="AI4" s="72" t="s">
        <v>249</v>
      </c>
      <c r="AJ4" s="72" t="s">
        <v>250</v>
      </c>
      <c r="AK4" s="72" t="s">
        <v>251</v>
      </c>
      <c r="AL4" s="72" t="s">
        <v>252</v>
      </c>
      <c r="AM4" s="72" t="s">
        <v>253</v>
      </c>
      <c r="AN4" s="72" t="s">
        <v>254</v>
      </c>
      <c r="AO4" s="72" t="s">
        <v>255</v>
      </c>
      <c r="AP4" s="72" t="s">
        <v>256</v>
      </c>
      <c r="AQ4" s="66" t="s">
        <v>257</v>
      </c>
      <c r="AR4" s="27" t="s">
        <v>258</v>
      </c>
      <c r="AS4" s="28" t="s">
        <v>259</v>
      </c>
      <c r="AT4" s="28" t="s">
        <v>260</v>
      </c>
      <c r="AU4" s="28" t="s">
        <v>261</v>
      </c>
      <c r="AV4" s="28" t="s">
        <v>262</v>
      </c>
      <c r="AW4" s="28" t="s">
        <v>263</v>
      </c>
      <c r="AX4" s="28" t="s">
        <v>264</v>
      </c>
      <c r="AY4" s="28" t="s">
        <v>265</v>
      </c>
      <c r="AZ4" s="28" t="s">
        <v>266</v>
      </c>
      <c r="BA4" s="29" t="s">
        <v>267</v>
      </c>
      <c r="BB4" s="27" t="s">
        <v>268</v>
      </c>
      <c r="BC4" s="28" t="s">
        <v>269</v>
      </c>
      <c r="BD4" s="28" t="s">
        <v>270</v>
      </c>
      <c r="BE4" s="37" t="s">
        <v>351</v>
      </c>
      <c r="BF4" s="37" t="s">
        <v>355</v>
      </c>
      <c r="BG4" s="37" t="s">
        <v>360</v>
      </c>
      <c r="BH4" s="72" t="s">
        <v>428</v>
      </c>
      <c r="BI4" s="72" t="s">
        <v>433</v>
      </c>
      <c r="BJ4" s="72" t="s">
        <v>438</v>
      </c>
      <c r="BK4" s="66" t="s">
        <v>443</v>
      </c>
      <c r="BL4" s="97" t="s">
        <v>543</v>
      </c>
      <c r="BM4" s="72" t="s">
        <v>465</v>
      </c>
      <c r="BN4" s="72" t="s">
        <v>473</v>
      </c>
      <c r="BO4" s="117" t="s">
        <v>550</v>
      </c>
      <c r="BP4" s="117" t="s">
        <v>557</v>
      </c>
      <c r="BQ4" s="66" t="s">
        <v>565</v>
      </c>
    </row>
    <row r="5" spans="1:69" x14ac:dyDescent="0.2">
      <c r="A5" s="20" t="s">
        <v>0</v>
      </c>
      <c r="B5" s="21" t="s">
        <v>1</v>
      </c>
      <c r="C5" s="25" t="s">
        <v>2</v>
      </c>
      <c r="D5" s="87">
        <v>9</v>
      </c>
      <c r="E5" s="88">
        <v>27</v>
      </c>
      <c r="F5" s="88">
        <v>-429</v>
      </c>
      <c r="G5" s="88">
        <v>-42</v>
      </c>
      <c r="H5" s="88">
        <v>31</v>
      </c>
      <c r="I5" s="88">
        <v>95</v>
      </c>
      <c r="J5" s="88">
        <v>285</v>
      </c>
      <c r="K5" s="88">
        <v>-133</v>
      </c>
      <c r="L5" s="88">
        <v>253</v>
      </c>
      <c r="M5" s="89">
        <v>467</v>
      </c>
      <c r="N5" s="87">
        <v>37</v>
      </c>
      <c r="O5" s="88">
        <v>220</v>
      </c>
      <c r="P5" s="88">
        <v>-57</v>
      </c>
      <c r="Q5" s="88">
        <v>-164</v>
      </c>
      <c r="R5" s="88">
        <v>228</v>
      </c>
      <c r="S5" s="88">
        <v>423</v>
      </c>
      <c r="T5" s="88">
        <v>-15</v>
      </c>
      <c r="U5" s="88">
        <v>-141</v>
      </c>
      <c r="V5" s="88">
        <v>-441</v>
      </c>
      <c r="W5" s="89">
        <v>-737</v>
      </c>
      <c r="X5" s="87">
        <v>-166</v>
      </c>
      <c r="Y5" s="88">
        <v>-146</v>
      </c>
      <c r="Z5" s="88">
        <v>-215</v>
      </c>
      <c r="AA5" s="88">
        <v>-205</v>
      </c>
      <c r="AB5" s="88">
        <v>-180</v>
      </c>
      <c r="AC5" s="88">
        <v>-159</v>
      </c>
      <c r="AD5" s="88">
        <v>-109</v>
      </c>
      <c r="AE5" s="88">
        <v>-130</v>
      </c>
      <c r="AF5" s="88">
        <v>-90</v>
      </c>
      <c r="AG5" s="89">
        <v>-112</v>
      </c>
      <c r="AH5" s="87">
        <v>51</v>
      </c>
      <c r="AI5" s="88">
        <v>40</v>
      </c>
      <c r="AJ5" s="88">
        <v>56</v>
      </c>
      <c r="AK5" s="88">
        <v>115</v>
      </c>
      <c r="AL5" s="88">
        <v>146</v>
      </c>
      <c r="AM5" s="88">
        <v>104</v>
      </c>
      <c r="AN5" s="88">
        <v>186</v>
      </c>
      <c r="AO5" s="88">
        <v>-7</v>
      </c>
      <c r="AP5" s="88">
        <v>66</v>
      </c>
      <c r="AQ5" s="89">
        <v>40</v>
      </c>
      <c r="AR5" s="87">
        <v>52</v>
      </c>
      <c r="AS5" s="88">
        <v>7</v>
      </c>
      <c r="AT5" s="88">
        <v>-80</v>
      </c>
      <c r="AU5" s="88">
        <v>194</v>
      </c>
      <c r="AV5" s="88">
        <v>-147</v>
      </c>
      <c r="AW5" s="88">
        <v>-267</v>
      </c>
      <c r="AX5" s="88">
        <v>-24</v>
      </c>
      <c r="AY5" s="88">
        <v>-52</v>
      </c>
      <c r="AZ5" s="88">
        <v>-111</v>
      </c>
      <c r="BA5" s="89">
        <v>4</v>
      </c>
      <c r="BB5" s="30">
        <v>-242</v>
      </c>
      <c r="BC5" s="31">
        <v>-128</v>
      </c>
      <c r="BD5" s="31">
        <v>-101</v>
      </c>
      <c r="BE5" s="67">
        <v>-151</v>
      </c>
      <c r="BF5" s="67">
        <v>-98</v>
      </c>
      <c r="BG5" s="67">
        <v>-22</v>
      </c>
      <c r="BH5" s="88">
        <v>173</v>
      </c>
      <c r="BI5" s="88">
        <v>-164</v>
      </c>
      <c r="BJ5" s="88">
        <v>-138</v>
      </c>
      <c r="BK5" s="89">
        <v>32</v>
      </c>
      <c r="BL5" s="87">
        <v>90</v>
      </c>
      <c r="BM5" s="88">
        <v>5</v>
      </c>
      <c r="BN5" s="88">
        <v>-86</v>
      </c>
      <c r="BO5" s="5">
        <f>'Annual Change'!BO5-'Natural Change'!BO5</f>
        <v>27</v>
      </c>
      <c r="BP5" s="5">
        <f>'Annual Change'!BP5-'Natural Change'!BP5</f>
        <v>-168</v>
      </c>
      <c r="BQ5" s="89">
        <f>'Annual Change'!BQ5-'Natural Change'!BQ5</f>
        <v>224</v>
      </c>
    </row>
    <row r="6" spans="1:69" x14ac:dyDescent="0.2">
      <c r="A6" s="20" t="s">
        <v>3</v>
      </c>
      <c r="B6" s="21" t="s">
        <v>4</v>
      </c>
      <c r="C6" s="25" t="s">
        <v>2</v>
      </c>
      <c r="D6" s="87">
        <v>-354</v>
      </c>
      <c r="E6" s="88">
        <v>181</v>
      </c>
      <c r="F6" s="88">
        <v>-17</v>
      </c>
      <c r="G6" s="88">
        <v>-281</v>
      </c>
      <c r="H6" s="88">
        <v>-51</v>
      </c>
      <c r="I6" s="88">
        <v>140</v>
      </c>
      <c r="J6" s="88">
        <v>440</v>
      </c>
      <c r="K6" s="88">
        <v>-64</v>
      </c>
      <c r="L6" s="88">
        <v>-127</v>
      </c>
      <c r="M6" s="89">
        <v>244</v>
      </c>
      <c r="N6" s="87">
        <v>168</v>
      </c>
      <c r="O6" s="88">
        <v>434</v>
      </c>
      <c r="P6" s="88">
        <v>-28</v>
      </c>
      <c r="Q6" s="88">
        <v>134</v>
      </c>
      <c r="R6" s="88">
        <v>47</v>
      </c>
      <c r="S6" s="88">
        <v>49</v>
      </c>
      <c r="T6" s="88">
        <v>548</v>
      </c>
      <c r="U6" s="88">
        <v>454</v>
      </c>
      <c r="V6" s="88">
        <v>321</v>
      </c>
      <c r="W6" s="89">
        <v>335</v>
      </c>
      <c r="X6" s="87">
        <v>-111</v>
      </c>
      <c r="Y6" s="88">
        <v>-32</v>
      </c>
      <c r="Z6" s="88">
        <v>-143</v>
      </c>
      <c r="AA6" s="88">
        <v>82</v>
      </c>
      <c r="AB6" s="88">
        <v>32</v>
      </c>
      <c r="AC6" s="88">
        <v>-190</v>
      </c>
      <c r="AD6" s="88">
        <v>-18</v>
      </c>
      <c r="AE6" s="88">
        <v>34</v>
      </c>
      <c r="AF6" s="88">
        <v>63</v>
      </c>
      <c r="AG6" s="89">
        <v>184</v>
      </c>
      <c r="AH6" s="87">
        <v>27</v>
      </c>
      <c r="AI6" s="88">
        <v>130</v>
      </c>
      <c r="AJ6" s="88">
        <v>186</v>
      </c>
      <c r="AK6" s="88">
        <v>527</v>
      </c>
      <c r="AL6" s="88">
        <v>213</v>
      </c>
      <c r="AM6" s="88">
        <v>656</v>
      </c>
      <c r="AN6" s="88">
        <v>284</v>
      </c>
      <c r="AO6" s="88">
        <v>213</v>
      </c>
      <c r="AP6" s="88">
        <v>189</v>
      </c>
      <c r="AQ6" s="89">
        <v>76</v>
      </c>
      <c r="AR6" s="87">
        <v>54</v>
      </c>
      <c r="AS6" s="88">
        <v>-35</v>
      </c>
      <c r="AT6" s="88">
        <v>19</v>
      </c>
      <c r="AU6" s="88">
        <v>-15</v>
      </c>
      <c r="AV6" s="88">
        <v>125</v>
      </c>
      <c r="AW6" s="88">
        <v>191</v>
      </c>
      <c r="AX6" s="88">
        <v>209</v>
      </c>
      <c r="AY6" s="88">
        <v>69</v>
      </c>
      <c r="AZ6" s="88">
        <v>71</v>
      </c>
      <c r="BA6" s="89">
        <v>32</v>
      </c>
      <c r="BB6" s="30">
        <v>-2</v>
      </c>
      <c r="BC6" s="31">
        <v>20</v>
      </c>
      <c r="BD6" s="31">
        <v>61</v>
      </c>
      <c r="BE6" s="67">
        <v>50</v>
      </c>
      <c r="BF6" s="67">
        <v>98</v>
      </c>
      <c r="BG6" s="67">
        <v>155</v>
      </c>
      <c r="BH6" s="88">
        <v>73</v>
      </c>
      <c r="BI6" s="88">
        <v>98</v>
      </c>
      <c r="BJ6" s="88">
        <v>110</v>
      </c>
      <c r="BK6" s="89">
        <v>135</v>
      </c>
      <c r="BL6" s="87">
        <v>316</v>
      </c>
      <c r="BM6" s="88">
        <v>178</v>
      </c>
      <c r="BN6" s="88">
        <v>170</v>
      </c>
      <c r="BO6" s="5">
        <f>'Annual Change'!BO6-'Natural Change'!BO6</f>
        <v>166</v>
      </c>
      <c r="BP6" s="5">
        <f>'Annual Change'!BP6-'Natural Change'!BP6</f>
        <v>186</v>
      </c>
      <c r="BQ6" s="89">
        <f>'Annual Change'!BQ6-'Natural Change'!BQ6</f>
        <v>283</v>
      </c>
    </row>
    <row r="7" spans="1:69" x14ac:dyDescent="0.2">
      <c r="A7" s="20" t="s">
        <v>5</v>
      </c>
      <c r="B7" s="21" t="s">
        <v>6</v>
      </c>
      <c r="C7" s="25" t="s">
        <v>2</v>
      </c>
      <c r="D7" s="87">
        <v>-1020</v>
      </c>
      <c r="E7" s="88">
        <v>-678</v>
      </c>
      <c r="F7" s="88">
        <v>-1422</v>
      </c>
      <c r="G7" s="88">
        <v>-1032</v>
      </c>
      <c r="H7" s="88">
        <v>-742</v>
      </c>
      <c r="I7" s="88">
        <v>-156</v>
      </c>
      <c r="J7" s="88">
        <v>521</v>
      </c>
      <c r="K7" s="88">
        <v>268</v>
      </c>
      <c r="L7" s="88">
        <v>219</v>
      </c>
      <c r="M7" s="89">
        <v>882</v>
      </c>
      <c r="N7" s="87">
        <v>-652</v>
      </c>
      <c r="O7" s="88">
        <v>-465</v>
      </c>
      <c r="P7" s="88">
        <v>-50</v>
      </c>
      <c r="Q7" s="88">
        <v>1442</v>
      </c>
      <c r="R7" s="88">
        <v>3765</v>
      </c>
      <c r="S7" s="88">
        <v>5614</v>
      </c>
      <c r="T7" s="88">
        <v>5219</v>
      </c>
      <c r="U7" s="88">
        <v>6431</v>
      </c>
      <c r="V7" s="88">
        <v>7207</v>
      </c>
      <c r="W7" s="89">
        <v>5216</v>
      </c>
      <c r="X7" s="87">
        <v>-338</v>
      </c>
      <c r="Y7" s="88">
        <v>1929</v>
      </c>
      <c r="Z7" s="88">
        <v>-2769</v>
      </c>
      <c r="AA7" s="88">
        <v>-4641</v>
      </c>
      <c r="AB7" s="88">
        <v>-2782</v>
      </c>
      <c r="AC7" s="88">
        <v>-882</v>
      </c>
      <c r="AD7" s="88">
        <v>-454</v>
      </c>
      <c r="AE7" s="88">
        <v>-399</v>
      </c>
      <c r="AF7" s="88">
        <v>-138</v>
      </c>
      <c r="AG7" s="89">
        <v>65</v>
      </c>
      <c r="AH7" s="87">
        <v>716</v>
      </c>
      <c r="AI7" s="88">
        <v>884</v>
      </c>
      <c r="AJ7" s="88">
        <v>1694</v>
      </c>
      <c r="AK7" s="88">
        <v>2854</v>
      </c>
      <c r="AL7" s="88">
        <v>3788</v>
      </c>
      <c r="AM7" s="88">
        <v>3027</v>
      </c>
      <c r="AN7" s="88">
        <v>1919</v>
      </c>
      <c r="AO7" s="88">
        <v>918</v>
      </c>
      <c r="AP7" s="88">
        <v>606</v>
      </c>
      <c r="AQ7" s="89">
        <v>1678</v>
      </c>
      <c r="AR7" s="87">
        <v>1687</v>
      </c>
      <c r="AS7" s="88">
        <v>1814</v>
      </c>
      <c r="AT7" s="88">
        <v>2488</v>
      </c>
      <c r="AU7" s="88">
        <v>2796</v>
      </c>
      <c r="AV7" s="88">
        <v>2272</v>
      </c>
      <c r="AW7" s="88">
        <v>1814</v>
      </c>
      <c r="AX7" s="88">
        <v>1525</v>
      </c>
      <c r="AY7" s="88">
        <v>1269</v>
      </c>
      <c r="AZ7" s="88">
        <v>2498</v>
      </c>
      <c r="BA7" s="89">
        <v>2524</v>
      </c>
      <c r="BB7" s="30">
        <v>1164</v>
      </c>
      <c r="BC7" s="31">
        <v>1112</v>
      </c>
      <c r="BD7" s="31">
        <v>2138</v>
      </c>
      <c r="BE7" s="67">
        <v>2162</v>
      </c>
      <c r="BF7" s="67">
        <v>1256</v>
      </c>
      <c r="BG7" s="67">
        <v>785</v>
      </c>
      <c r="BH7" s="88">
        <v>1910</v>
      </c>
      <c r="BI7" s="88">
        <v>2960</v>
      </c>
      <c r="BJ7" s="88">
        <v>2913</v>
      </c>
      <c r="BK7" s="89">
        <v>3079</v>
      </c>
      <c r="BL7" s="87">
        <v>1871</v>
      </c>
      <c r="BM7" s="88">
        <v>2258</v>
      </c>
      <c r="BN7" s="88">
        <v>2705</v>
      </c>
      <c r="BO7" s="5">
        <f>'Annual Change'!BO7-'Natural Change'!BO7</f>
        <v>1546</v>
      </c>
      <c r="BP7" s="5">
        <f>'Annual Change'!BP7-'Natural Change'!BP7</f>
        <v>907</v>
      </c>
      <c r="BQ7" s="89">
        <f>'Annual Change'!BQ7-'Natural Change'!BQ7</f>
        <v>2794</v>
      </c>
    </row>
    <row r="8" spans="1:69" x14ac:dyDescent="0.2">
      <c r="A8" s="20" t="s">
        <v>7</v>
      </c>
      <c r="B8" s="21" t="s">
        <v>8</v>
      </c>
      <c r="C8" s="25" t="s">
        <v>2</v>
      </c>
      <c r="D8" s="87">
        <v>-560</v>
      </c>
      <c r="E8" s="88">
        <v>-292</v>
      </c>
      <c r="F8" s="88">
        <v>-892</v>
      </c>
      <c r="G8" s="88">
        <v>-393</v>
      </c>
      <c r="H8" s="88">
        <v>-462</v>
      </c>
      <c r="I8" s="88">
        <v>-313</v>
      </c>
      <c r="J8" s="88">
        <v>524</v>
      </c>
      <c r="K8" s="88">
        <v>29</v>
      </c>
      <c r="L8" s="88">
        <v>-472</v>
      </c>
      <c r="M8" s="89">
        <v>594</v>
      </c>
      <c r="N8" s="87">
        <v>-278</v>
      </c>
      <c r="O8" s="88">
        <v>-2195</v>
      </c>
      <c r="P8" s="88">
        <v>66</v>
      </c>
      <c r="Q8" s="88">
        <v>640</v>
      </c>
      <c r="R8" s="88">
        <v>426</v>
      </c>
      <c r="S8" s="88">
        <v>377</v>
      </c>
      <c r="T8" s="88">
        <v>585</v>
      </c>
      <c r="U8" s="88">
        <v>973</v>
      </c>
      <c r="V8" s="88">
        <v>961</v>
      </c>
      <c r="W8" s="89">
        <v>1025</v>
      </c>
      <c r="X8" s="87">
        <v>642</v>
      </c>
      <c r="Y8" s="88">
        <v>-411</v>
      </c>
      <c r="Z8" s="88">
        <v>1276</v>
      </c>
      <c r="AA8" s="88">
        <v>820</v>
      </c>
      <c r="AB8" s="88">
        <v>325</v>
      </c>
      <c r="AC8" s="88">
        <v>-298</v>
      </c>
      <c r="AD8" s="88">
        <v>-239</v>
      </c>
      <c r="AE8" s="88">
        <v>661</v>
      </c>
      <c r="AF8" s="88">
        <v>195</v>
      </c>
      <c r="AG8" s="89">
        <v>771</v>
      </c>
      <c r="AH8" s="87">
        <v>736</v>
      </c>
      <c r="AI8" s="88">
        <v>1130</v>
      </c>
      <c r="AJ8" s="88">
        <v>1052</v>
      </c>
      <c r="AK8" s="88">
        <v>1415</v>
      </c>
      <c r="AL8" s="88">
        <v>1348</v>
      </c>
      <c r="AM8" s="88">
        <v>800</v>
      </c>
      <c r="AN8" s="88">
        <v>1217</v>
      </c>
      <c r="AO8" s="88">
        <v>887</v>
      </c>
      <c r="AP8" s="88">
        <v>905</v>
      </c>
      <c r="AQ8" s="89">
        <v>590</v>
      </c>
      <c r="AR8" s="87">
        <v>-124</v>
      </c>
      <c r="AS8" s="88">
        <v>104</v>
      </c>
      <c r="AT8" s="88">
        <v>-203</v>
      </c>
      <c r="AU8" s="88">
        <v>209</v>
      </c>
      <c r="AV8" s="88">
        <v>584</v>
      </c>
      <c r="AW8" s="88">
        <v>578</v>
      </c>
      <c r="AX8" s="88">
        <v>477</v>
      </c>
      <c r="AY8" s="88">
        <v>602</v>
      </c>
      <c r="AZ8" s="88">
        <v>-42</v>
      </c>
      <c r="BA8" s="89">
        <v>-151</v>
      </c>
      <c r="BB8" s="30">
        <v>1</v>
      </c>
      <c r="BC8" s="31">
        <v>67</v>
      </c>
      <c r="BD8" s="31">
        <v>-4</v>
      </c>
      <c r="BE8" s="67">
        <v>789</v>
      </c>
      <c r="BF8" s="67">
        <v>221</v>
      </c>
      <c r="BG8" s="67">
        <v>388</v>
      </c>
      <c r="BH8" s="88">
        <v>564</v>
      </c>
      <c r="BI8" s="88">
        <v>972</v>
      </c>
      <c r="BJ8" s="88">
        <v>351</v>
      </c>
      <c r="BK8" s="89">
        <v>1058</v>
      </c>
      <c r="BL8" s="87">
        <v>832</v>
      </c>
      <c r="BM8" s="88">
        <v>710</v>
      </c>
      <c r="BN8" s="88">
        <v>947</v>
      </c>
      <c r="BO8" s="5">
        <f>'Annual Change'!BO8-'Natural Change'!BO8</f>
        <v>781</v>
      </c>
      <c r="BP8" s="5">
        <f>'Annual Change'!BP8-'Natural Change'!BP8</f>
        <v>532</v>
      </c>
      <c r="BQ8" s="89">
        <f>'Annual Change'!BQ8-'Natural Change'!BQ8</f>
        <v>528</v>
      </c>
    </row>
    <row r="9" spans="1:69" x14ac:dyDescent="0.2">
      <c r="A9" s="20" t="s">
        <v>9</v>
      </c>
      <c r="B9" s="21" t="s">
        <v>10</v>
      </c>
      <c r="C9" s="25" t="s">
        <v>2</v>
      </c>
      <c r="D9" s="87">
        <v>-37</v>
      </c>
      <c r="E9" s="88">
        <v>144</v>
      </c>
      <c r="F9" s="88">
        <v>-434</v>
      </c>
      <c r="G9" s="88">
        <v>141</v>
      </c>
      <c r="H9" s="88">
        <v>369</v>
      </c>
      <c r="I9" s="88">
        <v>419</v>
      </c>
      <c r="J9" s="88">
        <v>951</v>
      </c>
      <c r="K9" s="88">
        <v>525</v>
      </c>
      <c r="L9" s="88">
        <v>151</v>
      </c>
      <c r="M9" s="89">
        <v>-32</v>
      </c>
      <c r="N9" s="87">
        <v>722</v>
      </c>
      <c r="O9" s="88">
        <v>392</v>
      </c>
      <c r="P9" s="88">
        <v>1206</v>
      </c>
      <c r="Q9" s="88">
        <v>1400</v>
      </c>
      <c r="R9" s="88">
        <v>1598</v>
      </c>
      <c r="S9" s="88">
        <v>1814</v>
      </c>
      <c r="T9" s="88">
        <v>655</v>
      </c>
      <c r="U9" s="88">
        <v>1947</v>
      </c>
      <c r="V9" s="88">
        <v>2689</v>
      </c>
      <c r="W9" s="89">
        <v>1933</v>
      </c>
      <c r="X9" s="87">
        <v>-145</v>
      </c>
      <c r="Y9" s="88">
        <v>-692</v>
      </c>
      <c r="Z9" s="88">
        <v>269</v>
      </c>
      <c r="AA9" s="88">
        <v>222</v>
      </c>
      <c r="AB9" s="88">
        <v>-359</v>
      </c>
      <c r="AC9" s="88">
        <v>164</v>
      </c>
      <c r="AD9" s="88">
        <v>-247</v>
      </c>
      <c r="AE9" s="88">
        <v>1448</v>
      </c>
      <c r="AF9" s="88">
        <v>720</v>
      </c>
      <c r="AG9" s="89">
        <v>826</v>
      </c>
      <c r="AH9" s="87">
        <v>1257</v>
      </c>
      <c r="AI9" s="88">
        <v>591</v>
      </c>
      <c r="AJ9" s="88">
        <v>939</v>
      </c>
      <c r="AK9" s="88">
        <v>766</v>
      </c>
      <c r="AL9" s="88">
        <v>695</v>
      </c>
      <c r="AM9" s="88">
        <v>1049</v>
      </c>
      <c r="AN9" s="88">
        <v>686</v>
      </c>
      <c r="AO9" s="88">
        <v>988</v>
      </c>
      <c r="AP9" s="88">
        <v>585</v>
      </c>
      <c r="AQ9" s="89">
        <v>945</v>
      </c>
      <c r="AR9" s="87">
        <v>636</v>
      </c>
      <c r="AS9" s="88">
        <v>860</v>
      </c>
      <c r="AT9" s="88">
        <v>780</v>
      </c>
      <c r="AU9" s="88">
        <v>1016</v>
      </c>
      <c r="AV9" s="88">
        <v>1182</v>
      </c>
      <c r="AW9" s="88">
        <v>1474</v>
      </c>
      <c r="AX9" s="88">
        <v>1116</v>
      </c>
      <c r="AY9" s="88">
        <v>1064</v>
      </c>
      <c r="AZ9" s="88">
        <v>686</v>
      </c>
      <c r="BA9" s="89">
        <v>638</v>
      </c>
      <c r="BB9" s="30">
        <v>626</v>
      </c>
      <c r="BC9" s="31">
        <v>849</v>
      </c>
      <c r="BD9" s="31">
        <v>649</v>
      </c>
      <c r="BE9" s="67">
        <v>554</v>
      </c>
      <c r="BF9" s="67">
        <v>699</v>
      </c>
      <c r="BG9" s="67">
        <v>921</v>
      </c>
      <c r="BH9" s="88">
        <v>1041</v>
      </c>
      <c r="BI9" s="88">
        <v>1019</v>
      </c>
      <c r="BJ9" s="88">
        <v>1396</v>
      </c>
      <c r="BK9" s="89">
        <v>1250</v>
      </c>
      <c r="BL9" s="87">
        <v>1074</v>
      </c>
      <c r="BM9" s="88">
        <v>615</v>
      </c>
      <c r="BN9" s="88">
        <v>1188</v>
      </c>
      <c r="BO9" s="5">
        <f>'Annual Change'!BO9-'Natural Change'!BO9</f>
        <v>1166</v>
      </c>
      <c r="BP9" s="5">
        <f>'Annual Change'!BP9-'Natural Change'!BP9</f>
        <v>808</v>
      </c>
      <c r="BQ9" s="89">
        <f>'Annual Change'!BQ9-'Natural Change'!BQ9</f>
        <v>1248</v>
      </c>
    </row>
    <row r="10" spans="1:69" x14ac:dyDescent="0.2">
      <c r="A10" s="20" t="s">
        <v>11</v>
      </c>
      <c r="B10" s="21" t="s">
        <v>12</v>
      </c>
      <c r="C10" s="25" t="s">
        <v>2</v>
      </c>
      <c r="D10" s="87">
        <v>1754</v>
      </c>
      <c r="E10" s="88">
        <v>1939</v>
      </c>
      <c r="F10" s="88">
        <v>1161</v>
      </c>
      <c r="G10" s="88">
        <v>1751</v>
      </c>
      <c r="H10" s="88">
        <v>2583</v>
      </c>
      <c r="I10" s="88">
        <v>2558</v>
      </c>
      <c r="J10" s="88">
        <v>4371</v>
      </c>
      <c r="K10" s="88">
        <v>4371</v>
      </c>
      <c r="L10" s="88">
        <v>5395</v>
      </c>
      <c r="M10" s="89">
        <v>-1706</v>
      </c>
      <c r="N10" s="87">
        <v>3579</v>
      </c>
      <c r="O10" s="88">
        <v>6679</v>
      </c>
      <c r="P10" s="88">
        <v>3005</v>
      </c>
      <c r="Q10" s="88">
        <v>5279</v>
      </c>
      <c r="R10" s="88">
        <v>4009</v>
      </c>
      <c r="S10" s="88">
        <v>2861</v>
      </c>
      <c r="T10" s="88">
        <v>5961</v>
      </c>
      <c r="U10" s="88">
        <v>4624</v>
      </c>
      <c r="V10" s="88">
        <v>7214</v>
      </c>
      <c r="W10" s="89">
        <v>6782</v>
      </c>
      <c r="X10" s="87">
        <v>2229</v>
      </c>
      <c r="Y10" s="88">
        <v>1219</v>
      </c>
      <c r="Z10" s="88">
        <v>606</v>
      </c>
      <c r="AA10" s="88">
        <v>-34</v>
      </c>
      <c r="AB10" s="88">
        <v>1279</v>
      </c>
      <c r="AC10" s="88">
        <v>1807</v>
      </c>
      <c r="AD10" s="88">
        <v>1838</v>
      </c>
      <c r="AE10" s="88">
        <v>3267</v>
      </c>
      <c r="AF10" s="88">
        <v>5224</v>
      </c>
      <c r="AG10" s="89">
        <v>9628</v>
      </c>
      <c r="AH10" s="87">
        <v>7942</v>
      </c>
      <c r="AI10" s="88">
        <v>5201</v>
      </c>
      <c r="AJ10" s="88">
        <v>6448</v>
      </c>
      <c r="AK10" s="88">
        <v>7594</v>
      </c>
      <c r="AL10" s="88">
        <v>9992</v>
      </c>
      <c r="AM10" s="88">
        <v>9011</v>
      </c>
      <c r="AN10" s="88">
        <v>9430</v>
      </c>
      <c r="AO10" s="88">
        <v>10476</v>
      </c>
      <c r="AP10" s="88">
        <v>7803</v>
      </c>
      <c r="AQ10" s="89">
        <v>7677</v>
      </c>
      <c r="AR10" s="87">
        <v>4379</v>
      </c>
      <c r="AS10" s="88">
        <v>9254</v>
      </c>
      <c r="AT10" s="88">
        <v>6472</v>
      </c>
      <c r="AU10" s="88">
        <v>8355</v>
      </c>
      <c r="AV10" s="88">
        <v>6356</v>
      </c>
      <c r="AW10" s="88">
        <v>7051</v>
      </c>
      <c r="AX10" s="88">
        <v>4825</v>
      </c>
      <c r="AY10" s="88">
        <v>3178</v>
      </c>
      <c r="AZ10" s="88">
        <v>1714</v>
      </c>
      <c r="BA10" s="89">
        <v>-1198</v>
      </c>
      <c r="BB10" s="30">
        <v>815</v>
      </c>
      <c r="BC10" s="31">
        <v>1249</v>
      </c>
      <c r="BD10" s="31">
        <v>2356</v>
      </c>
      <c r="BE10" s="67">
        <v>5152</v>
      </c>
      <c r="BF10" s="67">
        <v>5855</v>
      </c>
      <c r="BG10" s="67">
        <v>7158</v>
      </c>
      <c r="BH10" s="88">
        <v>8373</v>
      </c>
      <c r="BI10" s="88">
        <v>6449</v>
      </c>
      <c r="BJ10" s="88">
        <v>7976</v>
      </c>
      <c r="BK10" s="89">
        <v>10852</v>
      </c>
      <c r="BL10" s="87">
        <v>8780</v>
      </c>
      <c r="BM10" s="88">
        <v>6829</v>
      </c>
      <c r="BN10" s="88">
        <v>5643</v>
      </c>
      <c r="BO10" s="5">
        <f>'Annual Change'!BO10-'Natural Change'!BO10</f>
        <v>7712</v>
      </c>
      <c r="BP10" s="5">
        <f>'Annual Change'!BP10-'Natural Change'!BP10</f>
        <v>4960</v>
      </c>
      <c r="BQ10" s="89">
        <f>'Annual Change'!BQ10-'Natural Change'!BQ10</f>
        <v>6325</v>
      </c>
    </row>
    <row r="11" spans="1:69" x14ac:dyDescent="0.2">
      <c r="A11" s="20" t="s">
        <v>13</v>
      </c>
      <c r="B11" s="21" t="s">
        <v>14</v>
      </c>
      <c r="C11" s="25" t="s">
        <v>2</v>
      </c>
      <c r="D11" s="87">
        <v>6</v>
      </c>
      <c r="E11" s="88">
        <v>-214</v>
      </c>
      <c r="F11" s="88">
        <v>74</v>
      </c>
      <c r="G11" s="88">
        <v>-24</v>
      </c>
      <c r="H11" s="88">
        <v>-212</v>
      </c>
      <c r="I11" s="88">
        <v>98</v>
      </c>
      <c r="J11" s="88">
        <v>95</v>
      </c>
      <c r="K11" s="88">
        <v>165</v>
      </c>
      <c r="L11" s="88">
        <v>-205</v>
      </c>
      <c r="M11" s="89">
        <v>-43</v>
      </c>
      <c r="N11" s="87">
        <v>-9</v>
      </c>
      <c r="O11" s="88">
        <v>9</v>
      </c>
      <c r="P11" s="88">
        <v>-107</v>
      </c>
      <c r="Q11" s="88">
        <v>-2</v>
      </c>
      <c r="R11" s="88">
        <v>-93</v>
      </c>
      <c r="S11" s="88">
        <v>-5</v>
      </c>
      <c r="T11" s="88">
        <v>-107</v>
      </c>
      <c r="U11" s="88">
        <v>-4</v>
      </c>
      <c r="V11" s="88">
        <v>-22</v>
      </c>
      <c r="W11" s="89">
        <v>-58</v>
      </c>
      <c r="X11" s="87">
        <v>9</v>
      </c>
      <c r="Y11" s="88">
        <v>-14</v>
      </c>
      <c r="Z11" s="88">
        <v>-23</v>
      </c>
      <c r="AA11" s="88">
        <v>-14</v>
      </c>
      <c r="AB11" s="88">
        <v>3</v>
      </c>
      <c r="AC11" s="88">
        <v>9</v>
      </c>
      <c r="AD11" s="88">
        <v>-17</v>
      </c>
      <c r="AE11" s="88">
        <v>-14</v>
      </c>
      <c r="AF11" s="88">
        <v>23</v>
      </c>
      <c r="AG11" s="89">
        <v>-25</v>
      </c>
      <c r="AH11" s="87">
        <v>3</v>
      </c>
      <c r="AI11" s="88">
        <v>1</v>
      </c>
      <c r="AJ11" s="88">
        <v>-3</v>
      </c>
      <c r="AK11" s="88">
        <v>10</v>
      </c>
      <c r="AL11" s="88">
        <v>18</v>
      </c>
      <c r="AM11" s="88">
        <v>-2</v>
      </c>
      <c r="AN11" s="88">
        <v>7</v>
      </c>
      <c r="AO11" s="88">
        <v>8</v>
      </c>
      <c r="AP11" s="88">
        <v>11</v>
      </c>
      <c r="AQ11" s="89">
        <v>37</v>
      </c>
      <c r="AR11" s="87">
        <v>63</v>
      </c>
      <c r="AS11" s="88">
        <v>9</v>
      </c>
      <c r="AT11" s="88">
        <v>2</v>
      </c>
      <c r="AU11" s="88">
        <v>29</v>
      </c>
      <c r="AV11" s="88">
        <v>27</v>
      </c>
      <c r="AW11" s="88">
        <v>3</v>
      </c>
      <c r="AX11" s="88">
        <v>-27</v>
      </c>
      <c r="AY11" s="88">
        <v>18</v>
      </c>
      <c r="AZ11" s="88">
        <v>-3</v>
      </c>
      <c r="BA11" s="89">
        <v>-9</v>
      </c>
      <c r="BB11" s="30">
        <v>17</v>
      </c>
      <c r="BC11" s="31">
        <v>-10</v>
      </c>
      <c r="BD11" s="31">
        <v>1</v>
      </c>
      <c r="BE11" s="67">
        <v>-19</v>
      </c>
      <c r="BF11" s="67">
        <v>33</v>
      </c>
      <c r="BG11" s="67">
        <v>-1</v>
      </c>
      <c r="BH11" s="88">
        <v>12</v>
      </c>
      <c r="BI11" s="88">
        <v>17</v>
      </c>
      <c r="BJ11" s="88">
        <v>7</v>
      </c>
      <c r="BK11" s="89">
        <v>12</v>
      </c>
      <c r="BL11" s="87">
        <v>28</v>
      </c>
      <c r="BM11" s="88">
        <v>51</v>
      </c>
      <c r="BN11" s="88">
        <v>42</v>
      </c>
      <c r="BO11" s="5">
        <f>'Annual Change'!BO11-'Natural Change'!BO11</f>
        <v>99</v>
      </c>
      <c r="BP11" s="5">
        <f>'Annual Change'!BP11-'Natural Change'!BP11</f>
        <v>-17</v>
      </c>
      <c r="BQ11" s="89">
        <f>'Annual Change'!BQ11-'Natural Change'!BQ11</f>
        <v>-6</v>
      </c>
    </row>
    <row r="12" spans="1:69" x14ac:dyDescent="0.2">
      <c r="A12" s="20" t="s">
        <v>15</v>
      </c>
      <c r="B12" s="21" t="s">
        <v>16</v>
      </c>
      <c r="C12" s="25" t="s">
        <v>2</v>
      </c>
      <c r="D12" s="87">
        <v>137</v>
      </c>
      <c r="E12" s="88">
        <v>212</v>
      </c>
      <c r="F12" s="88">
        <v>22</v>
      </c>
      <c r="G12" s="88">
        <v>155</v>
      </c>
      <c r="H12" s="88">
        <v>417</v>
      </c>
      <c r="I12" s="88">
        <v>621</v>
      </c>
      <c r="J12" s="88">
        <v>1454</v>
      </c>
      <c r="K12" s="88">
        <v>1662</v>
      </c>
      <c r="L12" s="88">
        <v>138</v>
      </c>
      <c r="M12" s="89">
        <v>-1061</v>
      </c>
      <c r="N12" s="87">
        <v>7</v>
      </c>
      <c r="O12" s="88">
        <v>-926</v>
      </c>
      <c r="P12" s="88">
        <v>155</v>
      </c>
      <c r="Q12" s="88">
        <v>619</v>
      </c>
      <c r="R12" s="88">
        <v>594</v>
      </c>
      <c r="S12" s="88">
        <v>-286</v>
      </c>
      <c r="T12" s="88">
        <v>696</v>
      </c>
      <c r="U12" s="88">
        <v>1428</v>
      </c>
      <c r="V12" s="88">
        <v>1685</v>
      </c>
      <c r="W12" s="89">
        <v>752</v>
      </c>
      <c r="X12" s="87">
        <v>-572</v>
      </c>
      <c r="Y12" s="88">
        <v>-1308</v>
      </c>
      <c r="Z12" s="88">
        <v>-264</v>
      </c>
      <c r="AA12" s="88">
        <v>-358</v>
      </c>
      <c r="AB12" s="88">
        <v>-722</v>
      </c>
      <c r="AC12" s="88">
        <v>-1256</v>
      </c>
      <c r="AD12" s="88">
        <v>-56</v>
      </c>
      <c r="AE12" s="88">
        <v>31</v>
      </c>
      <c r="AF12" s="88">
        <v>952</v>
      </c>
      <c r="AG12" s="89">
        <v>615</v>
      </c>
      <c r="AH12" s="87">
        <v>89</v>
      </c>
      <c r="AI12" s="88">
        <v>404</v>
      </c>
      <c r="AJ12" s="88">
        <v>564</v>
      </c>
      <c r="AK12" s="88">
        <v>693</v>
      </c>
      <c r="AL12" s="88">
        <v>906</v>
      </c>
      <c r="AM12" s="88">
        <v>938</v>
      </c>
      <c r="AN12" s="88">
        <v>686</v>
      </c>
      <c r="AO12" s="88">
        <v>767</v>
      </c>
      <c r="AP12" s="88">
        <v>755</v>
      </c>
      <c r="AQ12" s="89">
        <v>850</v>
      </c>
      <c r="AR12" s="87">
        <v>772</v>
      </c>
      <c r="AS12" s="88">
        <v>450</v>
      </c>
      <c r="AT12" s="88">
        <v>759</v>
      </c>
      <c r="AU12" s="88">
        <v>553</v>
      </c>
      <c r="AV12" s="88">
        <v>792</v>
      </c>
      <c r="AW12" s="88">
        <v>1171</v>
      </c>
      <c r="AX12" s="88">
        <v>963</v>
      </c>
      <c r="AY12" s="88">
        <v>801</v>
      </c>
      <c r="AZ12" s="88">
        <v>305</v>
      </c>
      <c r="BA12" s="89">
        <v>-43</v>
      </c>
      <c r="BB12" s="30">
        <v>67</v>
      </c>
      <c r="BC12" s="31">
        <v>175</v>
      </c>
      <c r="BD12" s="31">
        <v>278</v>
      </c>
      <c r="BE12" s="67">
        <v>522</v>
      </c>
      <c r="BF12" s="67">
        <v>621</v>
      </c>
      <c r="BG12" s="67">
        <v>558</v>
      </c>
      <c r="BH12" s="88">
        <v>946</v>
      </c>
      <c r="BI12" s="88">
        <v>1293</v>
      </c>
      <c r="BJ12" s="88">
        <v>1461</v>
      </c>
      <c r="BK12" s="89">
        <v>1410</v>
      </c>
      <c r="BL12" s="87">
        <v>894</v>
      </c>
      <c r="BM12" s="88">
        <v>1245</v>
      </c>
      <c r="BN12" s="88">
        <v>752</v>
      </c>
      <c r="BO12" s="5">
        <f>'Annual Change'!BO12-'Natural Change'!BO12</f>
        <v>997</v>
      </c>
      <c r="BP12" s="5">
        <f>'Annual Change'!BP12-'Natural Change'!BP12</f>
        <v>762</v>
      </c>
      <c r="BQ12" s="89">
        <f>'Annual Change'!BQ12-'Natural Change'!BQ12</f>
        <v>538</v>
      </c>
    </row>
    <row r="13" spans="1:69" x14ac:dyDescent="0.2">
      <c r="A13" s="20" t="s">
        <v>17</v>
      </c>
      <c r="B13" s="21" t="s">
        <v>18</v>
      </c>
      <c r="C13" s="25" t="s">
        <v>2</v>
      </c>
      <c r="D13" s="87">
        <v>0</v>
      </c>
      <c r="E13" s="88">
        <v>-321</v>
      </c>
      <c r="F13" s="88">
        <v>63</v>
      </c>
      <c r="G13" s="88">
        <v>-23</v>
      </c>
      <c r="H13" s="88">
        <v>-108</v>
      </c>
      <c r="I13" s="88">
        <v>205</v>
      </c>
      <c r="J13" s="88">
        <v>416</v>
      </c>
      <c r="K13" s="88">
        <v>419</v>
      </c>
      <c r="L13" s="88">
        <v>-126</v>
      </c>
      <c r="M13" s="89">
        <v>72</v>
      </c>
      <c r="N13" s="87">
        <v>683</v>
      </c>
      <c r="O13" s="88">
        <v>-119</v>
      </c>
      <c r="P13" s="88">
        <v>-274</v>
      </c>
      <c r="Q13" s="88">
        <v>267</v>
      </c>
      <c r="R13" s="88">
        <v>397</v>
      </c>
      <c r="S13" s="88">
        <v>956</v>
      </c>
      <c r="T13" s="88">
        <v>637</v>
      </c>
      <c r="U13" s="88">
        <v>792</v>
      </c>
      <c r="V13" s="88">
        <v>180</v>
      </c>
      <c r="W13" s="89">
        <v>306</v>
      </c>
      <c r="X13" s="87">
        <v>90</v>
      </c>
      <c r="Y13" s="88">
        <v>-235</v>
      </c>
      <c r="Z13" s="88">
        <v>-75</v>
      </c>
      <c r="AA13" s="88">
        <v>-28</v>
      </c>
      <c r="AB13" s="88">
        <v>226</v>
      </c>
      <c r="AC13" s="88">
        <v>159</v>
      </c>
      <c r="AD13" s="88">
        <v>-79</v>
      </c>
      <c r="AE13" s="88">
        <v>577</v>
      </c>
      <c r="AF13" s="88">
        <v>466</v>
      </c>
      <c r="AG13" s="89">
        <v>955</v>
      </c>
      <c r="AH13" s="87">
        <v>1187</v>
      </c>
      <c r="AI13" s="88">
        <v>-467</v>
      </c>
      <c r="AJ13" s="88">
        <v>504</v>
      </c>
      <c r="AK13" s="88">
        <v>286</v>
      </c>
      <c r="AL13" s="88">
        <v>351</v>
      </c>
      <c r="AM13" s="88">
        <v>450</v>
      </c>
      <c r="AN13" s="88">
        <v>363</v>
      </c>
      <c r="AO13" s="88">
        <v>657</v>
      </c>
      <c r="AP13" s="88">
        <v>405</v>
      </c>
      <c r="AQ13" s="89">
        <v>334</v>
      </c>
      <c r="AR13" s="87">
        <v>10</v>
      </c>
      <c r="AS13" s="88">
        <v>-153</v>
      </c>
      <c r="AT13" s="88">
        <v>493</v>
      </c>
      <c r="AU13" s="88">
        <v>223</v>
      </c>
      <c r="AV13" s="88">
        <v>347</v>
      </c>
      <c r="AW13" s="88">
        <v>762</v>
      </c>
      <c r="AX13" s="88">
        <v>557</v>
      </c>
      <c r="AY13" s="88">
        <v>605</v>
      </c>
      <c r="AZ13" s="88">
        <v>467</v>
      </c>
      <c r="BA13" s="89">
        <v>164</v>
      </c>
      <c r="BB13" s="30">
        <v>16</v>
      </c>
      <c r="BC13" s="31">
        <v>51</v>
      </c>
      <c r="BD13" s="31">
        <v>83</v>
      </c>
      <c r="BE13" s="67">
        <v>101</v>
      </c>
      <c r="BF13" s="67">
        <v>217</v>
      </c>
      <c r="BG13" s="67">
        <v>303</v>
      </c>
      <c r="BH13" s="88">
        <v>287</v>
      </c>
      <c r="BI13" s="88">
        <v>269</v>
      </c>
      <c r="BJ13" s="88">
        <v>417</v>
      </c>
      <c r="BK13" s="89">
        <v>619</v>
      </c>
      <c r="BL13" s="87">
        <v>486</v>
      </c>
      <c r="BM13" s="88">
        <v>332</v>
      </c>
      <c r="BN13" s="88">
        <v>386</v>
      </c>
      <c r="BO13" s="5">
        <f>'Annual Change'!BO13-'Natural Change'!BO13</f>
        <v>507</v>
      </c>
      <c r="BP13" s="5">
        <f>'Annual Change'!BP13-'Natural Change'!BP13</f>
        <v>121</v>
      </c>
      <c r="BQ13" s="89">
        <f>'Annual Change'!BQ13-'Natural Change'!BQ13</f>
        <v>274</v>
      </c>
    </row>
    <row r="14" spans="1:69" x14ac:dyDescent="0.2">
      <c r="A14" s="20" t="s">
        <v>19</v>
      </c>
      <c r="B14" s="21" t="s">
        <v>20</v>
      </c>
      <c r="C14" s="25" t="s">
        <v>2</v>
      </c>
      <c r="D14" s="87">
        <v>168</v>
      </c>
      <c r="E14" s="88">
        <v>-355</v>
      </c>
      <c r="F14" s="88">
        <v>59</v>
      </c>
      <c r="G14" s="88">
        <v>-28</v>
      </c>
      <c r="H14" s="88">
        <v>-139</v>
      </c>
      <c r="I14" s="88">
        <v>-30</v>
      </c>
      <c r="J14" s="88">
        <v>83</v>
      </c>
      <c r="K14" s="88">
        <v>-123</v>
      </c>
      <c r="L14" s="88">
        <v>-241</v>
      </c>
      <c r="M14" s="89">
        <v>34</v>
      </c>
      <c r="N14" s="87">
        <v>11</v>
      </c>
      <c r="O14" s="88">
        <v>250</v>
      </c>
      <c r="P14" s="88">
        <v>70</v>
      </c>
      <c r="Q14" s="88">
        <v>259</v>
      </c>
      <c r="R14" s="88">
        <v>154</v>
      </c>
      <c r="S14" s="88">
        <v>158</v>
      </c>
      <c r="T14" s="88">
        <v>311</v>
      </c>
      <c r="U14" s="88">
        <v>116</v>
      </c>
      <c r="V14" s="88">
        <v>351</v>
      </c>
      <c r="W14" s="89">
        <v>29</v>
      </c>
      <c r="X14" s="87">
        <v>44</v>
      </c>
      <c r="Y14" s="88">
        <v>-1</v>
      </c>
      <c r="Z14" s="88">
        <v>-32</v>
      </c>
      <c r="AA14" s="88">
        <v>-80</v>
      </c>
      <c r="AB14" s="88">
        <v>-74</v>
      </c>
      <c r="AC14" s="88">
        <v>-27</v>
      </c>
      <c r="AD14" s="88">
        <v>-192</v>
      </c>
      <c r="AE14" s="88">
        <v>163</v>
      </c>
      <c r="AF14" s="88">
        <v>39</v>
      </c>
      <c r="AG14" s="89">
        <v>104</v>
      </c>
      <c r="AH14" s="87">
        <v>41</v>
      </c>
      <c r="AI14" s="88">
        <v>49</v>
      </c>
      <c r="AJ14" s="88">
        <v>60</v>
      </c>
      <c r="AK14" s="88">
        <v>79</v>
      </c>
      <c r="AL14" s="88">
        <v>139</v>
      </c>
      <c r="AM14" s="88">
        <v>112</v>
      </c>
      <c r="AN14" s="88">
        <v>110</v>
      </c>
      <c r="AO14" s="88">
        <v>63</v>
      </c>
      <c r="AP14" s="88">
        <v>31</v>
      </c>
      <c r="AQ14" s="89">
        <v>72</v>
      </c>
      <c r="AR14" s="87">
        <v>49</v>
      </c>
      <c r="AS14" s="88">
        <v>19</v>
      </c>
      <c r="AT14" s="88">
        <v>-6</v>
      </c>
      <c r="AU14" s="88">
        <v>-30</v>
      </c>
      <c r="AV14" s="88">
        <v>43</v>
      </c>
      <c r="AW14" s="88">
        <v>64</v>
      </c>
      <c r="AX14" s="88">
        <v>24</v>
      </c>
      <c r="AY14" s="88">
        <v>73</v>
      </c>
      <c r="AZ14" s="88">
        <v>31</v>
      </c>
      <c r="BA14" s="89">
        <v>-6</v>
      </c>
      <c r="BB14" s="30">
        <v>-12</v>
      </c>
      <c r="BC14" s="31">
        <v>-26</v>
      </c>
      <c r="BD14" s="31">
        <v>-14</v>
      </c>
      <c r="BE14" s="67">
        <v>-29</v>
      </c>
      <c r="BF14" s="67">
        <v>-43</v>
      </c>
      <c r="BG14" s="67">
        <v>-19</v>
      </c>
      <c r="BH14" s="88">
        <v>-34</v>
      </c>
      <c r="BI14" s="88">
        <v>-30</v>
      </c>
      <c r="BJ14" s="88">
        <v>4</v>
      </c>
      <c r="BK14" s="89">
        <v>-19</v>
      </c>
      <c r="BL14" s="87">
        <v>109</v>
      </c>
      <c r="BM14" s="88">
        <v>128</v>
      </c>
      <c r="BN14" s="88">
        <v>46</v>
      </c>
      <c r="BO14" s="5">
        <f>'Annual Change'!BO14-'Natural Change'!BO14</f>
        <v>109</v>
      </c>
      <c r="BP14" s="5">
        <f>'Annual Change'!BP14-'Natural Change'!BP14</f>
        <v>44</v>
      </c>
      <c r="BQ14" s="89">
        <f>'Annual Change'!BQ14-'Natural Change'!BQ14</f>
        <v>28</v>
      </c>
    </row>
    <row r="15" spans="1:69" x14ac:dyDescent="0.2">
      <c r="A15" s="20" t="s">
        <v>21</v>
      </c>
      <c r="B15" s="21" t="s">
        <v>22</v>
      </c>
      <c r="C15" s="25" t="s">
        <v>2</v>
      </c>
      <c r="D15" s="87">
        <v>-243</v>
      </c>
      <c r="E15" s="88">
        <v>49</v>
      </c>
      <c r="F15" s="88">
        <v>-468</v>
      </c>
      <c r="G15" s="88">
        <v>-87</v>
      </c>
      <c r="H15" s="88">
        <v>-218</v>
      </c>
      <c r="I15" s="88">
        <v>-93</v>
      </c>
      <c r="J15" s="88">
        <v>552</v>
      </c>
      <c r="K15" s="88">
        <v>147</v>
      </c>
      <c r="L15" s="88">
        <v>264</v>
      </c>
      <c r="M15" s="89">
        <v>-605</v>
      </c>
      <c r="N15" s="87">
        <v>-83</v>
      </c>
      <c r="O15" s="88">
        <v>518</v>
      </c>
      <c r="P15" s="88">
        <v>104</v>
      </c>
      <c r="Q15" s="88">
        <v>-68</v>
      </c>
      <c r="R15" s="88">
        <v>-660</v>
      </c>
      <c r="S15" s="88">
        <v>1860</v>
      </c>
      <c r="T15" s="88">
        <v>489</v>
      </c>
      <c r="U15" s="88">
        <v>1492</v>
      </c>
      <c r="V15" s="88">
        <v>1082</v>
      </c>
      <c r="W15" s="89">
        <v>338</v>
      </c>
      <c r="X15" s="87">
        <v>8</v>
      </c>
      <c r="Y15" s="88">
        <v>273</v>
      </c>
      <c r="Z15" s="88">
        <v>-621</v>
      </c>
      <c r="AA15" s="88">
        <v>-421</v>
      </c>
      <c r="AB15" s="88">
        <v>-939</v>
      </c>
      <c r="AC15" s="88">
        <v>-723</v>
      </c>
      <c r="AD15" s="88">
        <v>-216</v>
      </c>
      <c r="AE15" s="88">
        <v>-238</v>
      </c>
      <c r="AF15" s="88">
        <v>-200</v>
      </c>
      <c r="AG15" s="89">
        <v>-279</v>
      </c>
      <c r="AH15" s="87">
        <v>368</v>
      </c>
      <c r="AI15" s="88">
        <v>-147</v>
      </c>
      <c r="AJ15" s="88">
        <v>302</v>
      </c>
      <c r="AK15" s="88">
        <v>486</v>
      </c>
      <c r="AL15" s="88">
        <v>507</v>
      </c>
      <c r="AM15" s="88">
        <v>440</v>
      </c>
      <c r="AN15" s="88">
        <v>743</v>
      </c>
      <c r="AO15" s="88">
        <v>571</v>
      </c>
      <c r="AP15" s="88">
        <v>680</v>
      </c>
      <c r="AQ15" s="89">
        <v>646</v>
      </c>
      <c r="AR15" s="87">
        <v>347</v>
      </c>
      <c r="AS15" s="88">
        <v>929</v>
      </c>
      <c r="AT15" s="88">
        <v>1690</v>
      </c>
      <c r="AU15" s="88">
        <v>2632</v>
      </c>
      <c r="AV15" s="88">
        <v>2900</v>
      </c>
      <c r="AW15" s="88">
        <v>2594</v>
      </c>
      <c r="AX15" s="88">
        <v>1989</v>
      </c>
      <c r="AY15" s="88">
        <v>1324</v>
      </c>
      <c r="AZ15" s="88">
        <v>1556</v>
      </c>
      <c r="BA15" s="89">
        <v>1752</v>
      </c>
      <c r="BB15" s="30">
        <v>996</v>
      </c>
      <c r="BC15" s="31">
        <v>619</v>
      </c>
      <c r="BD15" s="31">
        <v>495</v>
      </c>
      <c r="BE15" s="67">
        <v>1025</v>
      </c>
      <c r="BF15" s="67">
        <v>-779</v>
      </c>
      <c r="BG15" s="67">
        <v>177</v>
      </c>
      <c r="BH15" s="88">
        <v>276</v>
      </c>
      <c r="BI15" s="88">
        <v>1418</v>
      </c>
      <c r="BJ15" s="88">
        <v>1047</v>
      </c>
      <c r="BK15" s="89">
        <v>913</v>
      </c>
      <c r="BL15" s="87">
        <v>680</v>
      </c>
      <c r="BM15" s="88">
        <v>520</v>
      </c>
      <c r="BN15" s="88">
        <v>469</v>
      </c>
      <c r="BO15" s="5">
        <f>'Annual Change'!BO15-'Natural Change'!BO15</f>
        <v>263</v>
      </c>
      <c r="BP15" s="5">
        <f>'Annual Change'!BP15-'Natural Change'!BP15</f>
        <v>-5</v>
      </c>
      <c r="BQ15" s="89">
        <f>'Annual Change'!BQ15-'Natural Change'!BQ15</f>
        <v>1669</v>
      </c>
    </row>
    <row r="16" spans="1:69" x14ac:dyDescent="0.2">
      <c r="A16" s="20" t="s">
        <v>23</v>
      </c>
      <c r="B16" s="21" t="s">
        <v>24</v>
      </c>
      <c r="C16" s="25" t="s">
        <v>2</v>
      </c>
      <c r="D16" s="87">
        <v>-105</v>
      </c>
      <c r="E16" s="88">
        <v>-41</v>
      </c>
      <c r="F16" s="88">
        <v>-212</v>
      </c>
      <c r="G16" s="88">
        <v>-29</v>
      </c>
      <c r="H16" s="88">
        <v>96</v>
      </c>
      <c r="I16" s="88">
        <v>0</v>
      </c>
      <c r="J16" s="88">
        <v>91</v>
      </c>
      <c r="K16" s="88">
        <v>-25</v>
      </c>
      <c r="L16" s="88">
        <v>-117</v>
      </c>
      <c r="M16" s="89">
        <v>112</v>
      </c>
      <c r="N16" s="87">
        <v>163</v>
      </c>
      <c r="O16" s="88">
        <v>106</v>
      </c>
      <c r="P16" s="88">
        <v>-190</v>
      </c>
      <c r="Q16" s="88">
        <v>-212</v>
      </c>
      <c r="R16" s="88">
        <v>-25</v>
      </c>
      <c r="S16" s="88">
        <v>99</v>
      </c>
      <c r="T16" s="88">
        <v>-18</v>
      </c>
      <c r="U16" s="88">
        <v>-210</v>
      </c>
      <c r="V16" s="88">
        <v>-120</v>
      </c>
      <c r="W16" s="89">
        <v>-143</v>
      </c>
      <c r="X16" s="87">
        <v>-17</v>
      </c>
      <c r="Y16" s="88">
        <v>-50</v>
      </c>
      <c r="Z16" s="88">
        <v>2</v>
      </c>
      <c r="AA16" s="88">
        <v>-13</v>
      </c>
      <c r="AB16" s="88">
        <v>-25</v>
      </c>
      <c r="AC16" s="88">
        <v>-21</v>
      </c>
      <c r="AD16" s="88">
        <v>-60</v>
      </c>
      <c r="AE16" s="88">
        <v>0</v>
      </c>
      <c r="AF16" s="88">
        <v>-63</v>
      </c>
      <c r="AG16" s="89">
        <v>8</v>
      </c>
      <c r="AH16" s="87">
        <v>17</v>
      </c>
      <c r="AI16" s="88">
        <v>14</v>
      </c>
      <c r="AJ16" s="88">
        <v>8</v>
      </c>
      <c r="AK16" s="88">
        <v>55</v>
      </c>
      <c r="AL16" s="88">
        <v>43</v>
      </c>
      <c r="AM16" s="88">
        <v>29</v>
      </c>
      <c r="AN16" s="88">
        <v>24</v>
      </c>
      <c r="AO16" s="88">
        <v>23</v>
      </c>
      <c r="AP16" s="88">
        <v>22</v>
      </c>
      <c r="AQ16" s="89">
        <v>27</v>
      </c>
      <c r="AR16" s="87">
        <v>-9</v>
      </c>
      <c r="AS16" s="88">
        <v>-2</v>
      </c>
      <c r="AT16" s="88">
        <v>-12</v>
      </c>
      <c r="AU16" s="88">
        <v>-14</v>
      </c>
      <c r="AV16" s="88">
        <v>3</v>
      </c>
      <c r="AW16" s="88">
        <v>3</v>
      </c>
      <c r="AX16" s="88">
        <v>-9</v>
      </c>
      <c r="AY16" s="88">
        <v>-3</v>
      </c>
      <c r="AZ16" s="88">
        <v>2</v>
      </c>
      <c r="BA16" s="89">
        <v>3</v>
      </c>
      <c r="BB16" s="30">
        <v>2</v>
      </c>
      <c r="BC16" s="31">
        <v>9</v>
      </c>
      <c r="BD16" s="31">
        <v>15</v>
      </c>
      <c r="BE16" s="67">
        <v>-7</v>
      </c>
      <c r="BF16" s="67">
        <v>20</v>
      </c>
      <c r="BG16" s="67">
        <v>-14</v>
      </c>
      <c r="BH16" s="88">
        <v>-12</v>
      </c>
      <c r="BI16" s="88">
        <v>15</v>
      </c>
      <c r="BJ16" s="88">
        <v>17</v>
      </c>
      <c r="BK16" s="89">
        <v>10</v>
      </c>
      <c r="BL16" s="87">
        <v>26</v>
      </c>
      <c r="BM16" s="88">
        <v>8</v>
      </c>
      <c r="BN16" s="88">
        <v>1</v>
      </c>
      <c r="BO16" s="5">
        <f>'Annual Change'!BO16-'Natural Change'!BO16</f>
        <v>41</v>
      </c>
      <c r="BP16" s="5">
        <f>'Annual Change'!BP16-'Natural Change'!BP16</f>
        <v>-19</v>
      </c>
      <c r="BQ16" s="89">
        <f>'Annual Change'!BQ16-'Natural Change'!BQ16</f>
        <v>20</v>
      </c>
    </row>
    <row r="17" spans="1:69" x14ac:dyDescent="0.2">
      <c r="A17" s="20" t="s">
        <v>25</v>
      </c>
      <c r="B17" s="21" t="s">
        <v>26</v>
      </c>
      <c r="C17" s="25" t="s">
        <v>2</v>
      </c>
      <c r="D17" s="87">
        <v>-1549</v>
      </c>
      <c r="E17" s="88">
        <v>-745</v>
      </c>
      <c r="F17" s="88">
        <v>-3315</v>
      </c>
      <c r="G17" s="88">
        <v>-1724</v>
      </c>
      <c r="H17" s="88">
        <v>-251</v>
      </c>
      <c r="I17" s="88">
        <v>967</v>
      </c>
      <c r="J17" s="88">
        <v>-3224</v>
      </c>
      <c r="K17" s="88">
        <v>-820</v>
      </c>
      <c r="L17" s="88">
        <v>-3301</v>
      </c>
      <c r="M17" s="89">
        <v>1469</v>
      </c>
      <c r="N17" s="87">
        <v>165</v>
      </c>
      <c r="O17" s="88">
        <v>-424</v>
      </c>
      <c r="P17" s="88">
        <v>-804</v>
      </c>
      <c r="Q17" s="88">
        <v>-402</v>
      </c>
      <c r="R17" s="88">
        <v>595</v>
      </c>
      <c r="S17" s="88">
        <v>1413</v>
      </c>
      <c r="T17" s="88">
        <v>412</v>
      </c>
      <c r="U17" s="88">
        <v>-186</v>
      </c>
      <c r="V17" s="88">
        <v>336</v>
      </c>
      <c r="W17" s="89">
        <v>512</v>
      </c>
      <c r="X17" s="87">
        <v>-615</v>
      </c>
      <c r="Y17" s="88">
        <v>-343</v>
      </c>
      <c r="Z17" s="88">
        <v>495</v>
      </c>
      <c r="AA17" s="88">
        <v>148</v>
      </c>
      <c r="AB17" s="88">
        <v>-330</v>
      </c>
      <c r="AC17" s="88">
        <v>165</v>
      </c>
      <c r="AD17" s="88">
        <v>-230</v>
      </c>
      <c r="AE17" s="88">
        <v>-112</v>
      </c>
      <c r="AF17" s="88">
        <v>-149</v>
      </c>
      <c r="AG17" s="89">
        <v>1623</v>
      </c>
      <c r="AH17" s="87">
        <v>643</v>
      </c>
      <c r="AI17" s="88">
        <v>845</v>
      </c>
      <c r="AJ17" s="88">
        <v>1187</v>
      </c>
      <c r="AK17" s="88">
        <v>1535</v>
      </c>
      <c r="AL17" s="88">
        <v>1765</v>
      </c>
      <c r="AM17" s="88">
        <v>1642</v>
      </c>
      <c r="AN17" s="88">
        <v>1111</v>
      </c>
      <c r="AO17" s="88">
        <v>1335</v>
      </c>
      <c r="AP17" s="88">
        <v>1340</v>
      </c>
      <c r="AQ17" s="89">
        <v>1106</v>
      </c>
      <c r="AR17" s="87">
        <v>299</v>
      </c>
      <c r="AS17" s="88">
        <v>257</v>
      </c>
      <c r="AT17" s="88">
        <v>-250</v>
      </c>
      <c r="AU17" s="88">
        <v>626</v>
      </c>
      <c r="AV17" s="88">
        <v>276</v>
      </c>
      <c r="AW17" s="88">
        <v>737</v>
      </c>
      <c r="AX17" s="88">
        <v>1018</v>
      </c>
      <c r="AY17" s="88">
        <v>1216</v>
      </c>
      <c r="AZ17" s="88">
        <v>722</v>
      </c>
      <c r="BA17" s="89">
        <v>358</v>
      </c>
      <c r="BB17" s="30">
        <v>-310</v>
      </c>
      <c r="BC17" s="31">
        <v>-292</v>
      </c>
      <c r="BD17" s="31">
        <v>-139</v>
      </c>
      <c r="BE17" s="67">
        <v>-117</v>
      </c>
      <c r="BF17" s="67">
        <v>36</v>
      </c>
      <c r="BG17" s="67">
        <v>-123</v>
      </c>
      <c r="BH17" s="88">
        <v>79</v>
      </c>
      <c r="BI17" s="88">
        <v>1190</v>
      </c>
      <c r="BJ17" s="88">
        <v>722</v>
      </c>
      <c r="BK17" s="89">
        <v>684</v>
      </c>
      <c r="BL17" s="87">
        <v>1150</v>
      </c>
      <c r="BM17" s="88">
        <v>581</v>
      </c>
      <c r="BN17" s="88">
        <v>976</v>
      </c>
      <c r="BO17" s="5">
        <f>'Annual Change'!BO17-'Natural Change'!BO17</f>
        <v>1469</v>
      </c>
      <c r="BP17" s="5">
        <f>'Annual Change'!BP17-'Natural Change'!BP17</f>
        <v>170</v>
      </c>
      <c r="BQ17" s="89">
        <f>'Annual Change'!BQ17-'Natural Change'!BQ17</f>
        <v>658</v>
      </c>
    </row>
    <row r="18" spans="1:69" x14ac:dyDescent="0.2">
      <c r="A18" s="20" t="s">
        <v>27</v>
      </c>
      <c r="B18" s="21" t="s">
        <v>28</v>
      </c>
      <c r="C18" s="25" t="s">
        <v>2</v>
      </c>
      <c r="D18" s="87">
        <v>-21</v>
      </c>
      <c r="E18" s="88">
        <v>41</v>
      </c>
      <c r="F18" s="88">
        <v>-283</v>
      </c>
      <c r="G18" s="88">
        <v>-38</v>
      </c>
      <c r="H18" s="88">
        <v>97</v>
      </c>
      <c r="I18" s="88">
        <v>440</v>
      </c>
      <c r="J18" s="88">
        <v>1254</v>
      </c>
      <c r="K18" s="88">
        <v>254</v>
      </c>
      <c r="L18" s="88">
        <v>-363</v>
      </c>
      <c r="M18" s="89">
        <v>-9</v>
      </c>
      <c r="N18" s="87">
        <v>33</v>
      </c>
      <c r="O18" s="88">
        <v>-868</v>
      </c>
      <c r="P18" s="88">
        <v>-779</v>
      </c>
      <c r="Q18" s="88">
        <v>825</v>
      </c>
      <c r="R18" s="88">
        <v>283</v>
      </c>
      <c r="S18" s="88">
        <v>-408</v>
      </c>
      <c r="T18" s="88">
        <v>852</v>
      </c>
      <c r="U18" s="88">
        <v>1335</v>
      </c>
      <c r="V18" s="88">
        <v>800</v>
      </c>
      <c r="W18" s="89">
        <v>1333</v>
      </c>
      <c r="X18" s="87">
        <v>-500</v>
      </c>
      <c r="Y18" s="88">
        <v>-1325</v>
      </c>
      <c r="Z18" s="88">
        <v>-606</v>
      </c>
      <c r="AA18" s="88">
        <v>-875</v>
      </c>
      <c r="AB18" s="88">
        <v>-1273</v>
      </c>
      <c r="AC18" s="88">
        <v>-1503</v>
      </c>
      <c r="AD18" s="88">
        <v>-179</v>
      </c>
      <c r="AE18" s="88">
        <v>343</v>
      </c>
      <c r="AF18" s="88">
        <v>404</v>
      </c>
      <c r="AG18" s="89">
        <v>20</v>
      </c>
      <c r="AH18" s="87">
        <v>-69</v>
      </c>
      <c r="AI18" s="88">
        <v>54</v>
      </c>
      <c r="AJ18" s="88">
        <v>109</v>
      </c>
      <c r="AK18" s="88">
        <v>390</v>
      </c>
      <c r="AL18" s="88">
        <v>252</v>
      </c>
      <c r="AM18" s="88">
        <v>186</v>
      </c>
      <c r="AN18" s="88">
        <v>255</v>
      </c>
      <c r="AO18" s="88">
        <v>-55</v>
      </c>
      <c r="AP18" s="88">
        <v>58</v>
      </c>
      <c r="AQ18" s="89">
        <v>380</v>
      </c>
      <c r="AR18" s="87">
        <v>1536</v>
      </c>
      <c r="AS18" s="88">
        <v>585</v>
      </c>
      <c r="AT18" s="88">
        <v>137</v>
      </c>
      <c r="AU18" s="88">
        <v>600</v>
      </c>
      <c r="AV18" s="88">
        <v>705</v>
      </c>
      <c r="AW18" s="88">
        <v>642</v>
      </c>
      <c r="AX18" s="88">
        <v>325</v>
      </c>
      <c r="AY18" s="88">
        <v>171</v>
      </c>
      <c r="AZ18" s="88">
        <v>191</v>
      </c>
      <c r="BA18" s="89">
        <v>139</v>
      </c>
      <c r="BB18" s="30">
        <v>32</v>
      </c>
      <c r="BC18" s="31">
        <v>193</v>
      </c>
      <c r="BD18" s="31">
        <v>199</v>
      </c>
      <c r="BE18" s="67">
        <v>236</v>
      </c>
      <c r="BF18" s="67">
        <v>37</v>
      </c>
      <c r="BG18" s="67">
        <v>211</v>
      </c>
      <c r="BH18" s="88">
        <v>312</v>
      </c>
      <c r="BI18" s="88">
        <v>658</v>
      </c>
      <c r="BJ18" s="88">
        <v>900</v>
      </c>
      <c r="BK18" s="89">
        <v>713</v>
      </c>
      <c r="BL18" s="87">
        <v>688</v>
      </c>
      <c r="BM18" s="88">
        <v>832</v>
      </c>
      <c r="BN18" s="88">
        <v>1086</v>
      </c>
      <c r="BO18" s="5">
        <f>'Annual Change'!BO18-'Natural Change'!BO18</f>
        <v>762</v>
      </c>
      <c r="BP18" s="5">
        <f>'Annual Change'!BP18-'Natural Change'!BP18</f>
        <v>808</v>
      </c>
      <c r="BQ18" s="89">
        <f>'Annual Change'!BQ18-'Natural Change'!BQ18</f>
        <v>875</v>
      </c>
    </row>
    <row r="19" spans="1:69" x14ac:dyDescent="0.2">
      <c r="A19" s="20" t="s">
        <v>29</v>
      </c>
      <c r="B19" s="21" t="s">
        <v>30</v>
      </c>
      <c r="C19" s="25" t="s">
        <v>2</v>
      </c>
      <c r="D19" s="87">
        <v>206</v>
      </c>
      <c r="E19" s="88">
        <v>104</v>
      </c>
      <c r="F19" s="88">
        <v>-305</v>
      </c>
      <c r="G19" s="88">
        <v>127</v>
      </c>
      <c r="H19" s="88">
        <v>274</v>
      </c>
      <c r="I19" s="88">
        <v>376</v>
      </c>
      <c r="J19" s="88">
        <v>789</v>
      </c>
      <c r="K19" s="88">
        <v>383</v>
      </c>
      <c r="L19" s="88">
        <v>301</v>
      </c>
      <c r="M19" s="89">
        <v>870</v>
      </c>
      <c r="N19" s="87">
        <v>-96</v>
      </c>
      <c r="O19" s="88">
        <v>1741</v>
      </c>
      <c r="P19" s="88">
        <v>1713</v>
      </c>
      <c r="Q19" s="88">
        <v>1292</v>
      </c>
      <c r="R19" s="88">
        <v>1050</v>
      </c>
      <c r="S19" s="88">
        <v>1174</v>
      </c>
      <c r="T19" s="88">
        <v>824</v>
      </c>
      <c r="U19" s="88">
        <v>3217</v>
      </c>
      <c r="V19" s="88">
        <v>502</v>
      </c>
      <c r="W19" s="89">
        <v>1333</v>
      </c>
      <c r="X19" s="87">
        <v>933</v>
      </c>
      <c r="Y19" s="88">
        <v>583</v>
      </c>
      <c r="Z19" s="88">
        <v>519</v>
      </c>
      <c r="AA19" s="88">
        <v>135</v>
      </c>
      <c r="AB19" s="88">
        <v>908</v>
      </c>
      <c r="AC19" s="88">
        <v>847</v>
      </c>
      <c r="AD19" s="88">
        <v>946</v>
      </c>
      <c r="AE19" s="88">
        <v>1414</v>
      </c>
      <c r="AF19" s="88">
        <v>1618</v>
      </c>
      <c r="AG19" s="89">
        <v>3092</v>
      </c>
      <c r="AH19" s="87">
        <v>1349</v>
      </c>
      <c r="AI19" s="88">
        <v>509</v>
      </c>
      <c r="AJ19" s="88">
        <v>335</v>
      </c>
      <c r="AK19" s="88">
        <v>266</v>
      </c>
      <c r="AL19" s="88">
        <v>693</v>
      </c>
      <c r="AM19" s="88">
        <v>457</v>
      </c>
      <c r="AN19" s="88">
        <v>710</v>
      </c>
      <c r="AO19" s="88">
        <v>583</v>
      </c>
      <c r="AP19" s="88">
        <v>715</v>
      </c>
      <c r="AQ19" s="89">
        <v>499</v>
      </c>
      <c r="AR19" s="87">
        <v>110</v>
      </c>
      <c r="AS19" s="88">
        <v>736</v>
      </c>
      <c r="AT19" s="88">
        <v>117</v>
      </c>
      <c r="AU19" s="88">
        <v>581</v>
      </c>
      <c r="AV19" s="88">
        <v>997</v>
      </c>
      <c r="AW19" s="88">
        <v>855</v>
      </c>
      <c r="AX19" s="88">
        <v>697</v>
      </c>
      <c r="AY19" s="88">
        <v>-65</v>
      </c>
      <c r="AZ19" s="88">
        <v>-50</v>
      </c>
      <c r="BA19" s="89">
        <v>-572</v>
      </c>
      <c r="BB19" s="30">
        <v>426</v>
      </c>
      <c r="BC19" s="31">
        <v>422</v>
      </c>
      <c r="BD19" s="31">
        <v>-21</v>
      </c>
      <c r="BE19" s="67">
        <v>462</v>
      </c>
      <c r="BF19" s="67">
        <v>671</v>
      </c>
      <c r="BG19" s="67">
        <v>849</v>
      </c>
      <c r="BH19" s="88">
        <v>1187</v>
      </c>
      <c r="BI19" s="88">
        <v>811</v>
      </c>
      <c r="BJ19" s="88">
        <v>698</v>
      </c>
      <c r="BK19" s="89">
        <v>941</v>
      </c>
      <c r="BL19" s="87">
        <v>359</v>
      </c>
      <c r="BM19" s="88">
        <v>710</v>
      </c>
      <c r="BN19" s="88">
        <v>631</v>
      </c>
      <c r="BO19" s="5">
        <f>'Annual Change'!BO19-'Natural Change'!BO19</f>
        <v>634</v>
      </c>
      <c r="BP19" s="5">
        <f>'Annual Change'!BP19-'Natural Change'!BP19</f>
        <v>154</v>
      </c>
      <c r="BQ19" s="89">
        <f>'Annual Change'!BQ19-'Natural Change'!BQ19</f>
        <v>413</v>
      </c>
    </row>
    <row r="20" spans="1:69" x14ac:dyDescent="0.2">
      <c r="A20" s="20" t="s">
        <v>31</v>
      </c>
      <c r="B20" s="21" t="s">
        <v>32</v>
      </c>
      <c r="C20" s="25" t="s">
        <v>2</v>
      </c>
      <c r="D20" s="87">
        <v>68</v>
      </c>
      <c r="E20" s="88">
        <v>-210</v>
      </c>
      <c r="F20" s="88">
        <v>24</v>
      </c>
      <c r="G20" s="88">
        <v>40</v>
      </c>
      <c r="H20" s="88">
        <v>-153</v>
      </c>
      <c r="I20" s="88">
        <v>140</v>
      </c>
      <c r="J20" s="88">
        <v>272</v>
      </c>
      <c r="K20" s="88">
        <v>364</v>
      </c>
      <c r="L20" s="88">
        <v>-530</v>
      </c>
      <c r="M20" s="89">
        <v>423</v>
      </c>
      <c r="N20" s="87">
        <v>-82</v>
      </c>
      <c r="O20" s="88">
        <v>6</v>
      </c>
      <c r="P20" s="88">
        <v>87</v>
      </c>
      <c r="Q20" s="88">
        <v>575</v>
      </c>
      <c r="R20" s="88">
        <v>486</v>
      </c>
      <c r="S20" s="88">
        <v>512</v>
      </c>
      <c r="T20" s="88">
        <v>438</v>
      </c>
      <c r="U20" s="88">
        <v>1037</v>
      </c>
      <c r="V20" s="88">
        <v>811</v>
      </c>
      <c r="W20" s="89">
        <v>1085</v>
      </c>
      <c r="X20" s="87">
        <v>684</v>
      </c>
      <c r="Y20" s="88">
        <v>179</v>
      </c>
      <c r="Z20" s="88">
        <v>-123</v>
      </c>
      <c r="AA20" s="88">
        <v>483</v>
      </c>
      <c r="AB20" s="88">
        <v>339</v>
      </c>
      <c r="AC20" s="88">
        <v>388</v>
      </c>
      <c r="AD20" s="88">
        <v>201</v>
      </c>
      <c r="AE20" s="88">
        <v>549</v>
      </c>
      <c r="AF20" s="88">
        <v>546</v>
      </c>
      <c r="AG20" s="89">
        <v>751</v>
      </c>
      <c r="AH20" s="87">
        <v>724</v>
      </c>
      <c r="AI20" s="88">
        <v>731</v>
      </c>
      <c r="AJ20" s="88">
        <v>673</v>
      </c>
      <c r="AK20" s="88">
        <v>674</v>
      </c>
      <c r="AL20" s="88">
        <v>674</v>
      </c>
      <c r="AM20" s="88">
        <v>511</v>
      </c>
      <c r="AN20" s="88">
        <v>565</v>
      </c>
      <c r="AO20" s="88">
        <v>430</v>
      </c>
      <c r="AP20" s="88">
        <v>642</v>
      </c>
      <c r="AQ20" s="89">
        <v>496</v>
      </c>
      <c r="AR20" s="87">
        <v>425</v>
      </c>
      <c r="AS20" s="88">
        <v>525</v>
      </c>
      <c r="AT20" s="88">
        <v>296</v>
      </c>
      <c r="AU20" s="88">
        <v>476</v>
      </c>
      <c r="AV20" s="88">
        <v>718</v>
      </c>
      <c r="AW20" s="88">
        <v>574</v>
      </c>
      <c r="AX20" s="88">
        <v>483</v>
      </c>
      <c r="AY20" s="88">
        <v>491</v>
      </c>
      <c r="AZ20" s="88">
        <v>287</v>
      </c>
      <c r="BA20" s="89">
        <v>210</v>
      </c>
      <c r="BB20" s="30">
        <v>472</v>
      </c>
      <c r="BC20" s="31">
        <v>385</v>
      </c>
      <c r="BD20" s="31">
        <v>297</v>
      </c>
      <c r="BE20" s="67">
        <v>518</v>
      </c>
      <c r="BF20" s="67">
        <v>450</v>
      </c>
      <c r="BG20" s="67">
        <v>632</v>
      </c>
      <c r="BH20" s="88">
        <v>475</v>
      </c>
      <c r="BI20" s="88">
        <v>530</v>
      </c>
      <c r="BJ20" s="88">
        <v>582</v>
      </c>
      <c r="BK20" s="89">
        <v>517</v>
      </c>
      <c r="BL20" s="87">
        <v>405</v>
      </c>
      <c r="BM20" s="88">
        <v>528</v>
      </c>
      <c r="BN20" s="88">
        <v>358</v>
      </c>
      <c r="BO20" s="5">
        <f>'Annual Change'!BO20-'Natural Change'!BO20</f>
        <v>598</v>
      </c>
      <c r="BP20" s="5">
        <f>'Annual Change'!BP20-'Natural Change'!BP20</f>
        <v>451</v>
      </c>
      <c r="BQ20" s="89">
        <f>'Annual Change'!BQ20-'Natural Change'!BQ20</f>
        <v>582</v>
      </c>
    </row>
    <row r="21" spans="1:69" x14ac:dyDescent="0.2">
      <c r="A21" s="20" t="s">
        <v>33</v>
      </c>
      <c r="B21" s="21" t="s">
        <v>34</v>
      </c>
      <c r="C21" s="25" t="s">
        <v>2</v>
      </c>
      <c r="D21" s="87">
        <v>4508</v>
      </c>
      <c r="E21" s="88">
        <v>6775</v>
      </c>
      <c r="F21" s="88">
        <v>241</v>
      </c>
      <c r="G21" s="88">
        <v>4891</v>
      </c>
      <c r="H21" s="88">
        <v>14816</v>
      </c>
      <c r="I21" s="88">
        <v>15768</v>
      </c>
      <c r="J21" s="88">
        <v>42130</v>
      </c>
      <c r="K21" s="88">
        <v>42205</v>
      </c>
      <c r="L21" s="88">
        <v>737</v>
      </c>
      <c r="M21" s="89">
        <v>-12371</v>
      </c>
      <c r="N21" s="87">
        <v>-17133</v>
      </c>
      <c r="O21" s="88">
        <v>-11510</v>
      </c>
      <c r="P21" s="88">
        <v>-4456</v>
      </c>
      <c r="Q21" s="88">
        <v>1888</v>
      </c>
      <c r="R21" s="88">
        <v>155</v>
      </c>
      <c r="S21" s="88">
        <v>-3486</v>
      </c>
      <c r="T21" s="88">
        <v>6612</v>
      </c>
      <c r="U21" s="88">
        <v>18222</v>
      </c>
      <c r="V21" s="88">
        <v>30938</v>
      </c>
      <c r="W21" s="89">
        <v>34424</v>
      </c>
      <c r="X21" s="87">
        <v>23828</v>
      </c>
      <c r="Y21" s="88">
        <v>7456</v>
      </c>
      <c r="Z21" s="88">
        <v>-10357</v>
      </c>
      <c r="AA21" s="88">
        <v>7939</v>
      </c>
      <c r="AB21" s="88">
        <v>13630</v>
      </c>
      <c r="AC21" s="88">
        <v>9691</v>
      </c>
      <c r="AD21" s="88">
        <v>14400</v>
      </c>
      <c r="AE21" s="88">
        <v>18179</v>
      </c>
      <c r="AF21" s="88">
        <v>23517</v>
      </c>
      <c r="AG21" s="89">
        <v>31955</v>
      </c>
      <c r="AH21" s="87">
        <v>30203</v>
      </c>
      <c r="AI21" s="88">
        <v>8492</v>
      </c>
      <c r="AJ21" s="88">
        <v>8088</v>
      </c>
      <c r="AK21" s="88">
        <v>7875</v>
      </c>
      <c r="AL21" s="88">
        <v>4995</v>
      </c>
      <c r="AM21" s="88">
        <v>4693</v>
      </c>
      <c r="AN21" s="88">
        <v>9131</v>
      </c>
      <c r="AO21" s="88">
        <v>16567</v>
      </c>
      <c r="AP21" s="88">
        <v>15253</v>
      </c>
      <c r="AQ21" s="89">
        <v>14718</v>
      </c>
      <c r="AR21" s="87">
        <v>7632</v>
      </c>
      <c r="AS21" s="88">
        <v>11740</v>
      </c>
      <c r="AT21" s="88">
        <v>53</v>
      </c>
      <c r="AU21" s="88">
        <v>1825</v>
      </c>
      <c r="AV21" s="88">
        <v>2700</v>
      </c>
      <c r="AW21" s="88">
        <v>18657</v>
      </c>
      <c r="AX21" s="88">
        <v>12904</v>
      </c>
      <c r="AY21" s="88">
        <v>6936</v>
      </c>
      <c r="AZ21" s="88">
        <v>4619</v>
      </c>
      <c r="BA21" s="89">
        <v>8468</v>
      </c>
      <c r="BB21" s="30">
        <v>1961</v>
      </c>
      <c r="BC21" s="31">
        <v>-1604</v>
      </c>
      <c r="BD21" s="31">
        <v>14135</v>
      </c>
      <c r="BE21" s="67">
        <v>24793</v>
      </c>
      <c r="BF21" s="67">
        <v>28376</v>
      </c>
      <c r="BG21" s="67">
        <v>44038</v>
      </c>
      <c r="BH21" s="88">
        <v>18694</v>
      </c>
      <c r="BI21" s="88">
        <v>25411</v>
      </c>
      <c r="BJ21" s="88">
        <v>29249</v>
      </c>
      <c r="BK21" s="89">
        <v>31376</v>
      </c>
      <c r="BL21" s="87">
        <v>8744</v>
      </c>
      <c r="BM21" s="88">
        <v>22424</v>
      </c>
      <c r="BN21" s="88">
        <v>22923</v>
      </c>
      <c r="BO21" s="5">
        <f>'Annual Change'!BO21-'Natural Change'!BO21</f>
        <v>22971</v>
      </c>
      <c r="BP21" s="5">
        <f>'Annual Change'!BP21-'Natural Change'!BP21</f>
        <v>25676</v>
      </c>
      <c r="BQ21" s="89">
        <f>'Annual Change'!BQ21-'Natural Change'!BQ21</f>
        <v>4836</v>
      </c>
    </row>
    <row r="22" spans="1:69" x14ac:dyDescent="0.2">
      <c r="A22" s="20" t="s">
        <v>36</v>
      </c>
      <c r="B22" s="21" t="s">
        <v>37</v>
      </c>
      <c r="C22" s="25" t="s">
        <v>2</v>
      </c>
      <c r="D22" s="87">
        <v>335</v>
      </c>
      <c r="E22" s="88">
        <v>303</v>
      </c>
      <c r="F22" s="88">
        <v>-184</v>
      </c>
      <c r="G22" s="88">
        <v>-66</v>
      </c>
      <c r="H22" s="88">
        <v>927</v>
      </c>
      <c r="I22" s="88">
        <v>1140</v>
      </c>
      <c r="J22" s="88">
        <v>1169</v>
      </c>
      <c r="K22" s="88">
        <v>2248</v>
      </c>
      <c r="L22" s="88">
        <v>6101</v>
      </c>
      <c r="M22" s="89">
        <v>-2162</v>
      </c>
      <c r="N22" s="87">
        <v>-2611</v>
      </c>
      <c r="O22" s="88">
        <v>-1180</v>
      </c>
      <c r="P22" s="88">
        <v>806</v>
      </c>
      <c r="Q22" s="88">
        <v>4301</v>
      </c>
      <c r="R22" s="88">
        <v>9491</v>
      </c>
      <c r="S22" s="88">
        <v>4689</v>
      </c>
      <c r="T22" s="88">
        <v>5781</v>
      </c>
      <c r="U22" s="88">
        <v>2232</v>
      </c>
      <c r="V22" s="88">
        <v>4901</v>
      </c>
      <c r="W22" s="89">
        <v>8017</v>
      </c>
      <c r="X22" s="87">
        <v>7007</v>
      </c>
      <c r="Y22" s="88">
        <v>-603</v>
      </c>
      <c r="Z22" s="88">
        <v>2710</v>
      </c>
      <c r="AA22" s="88">
        <v>719</v>
      </c>
      <c r="AB22" s="88">
        <v>3571</v>
      </c>
      <c r="AC22" s="88">
        <v>-3021</v>
      </c>
      <c r="AD22" s="88">
        <v>2964</v>
      </c>
      <c r="AE22" s="88">
        <v>5747</v>
      </c>
      <c r="AF22" s="88">
        <v>2136</v>
      </c>
      <c r="AG22" s="89">
        <v>4716</v>
      </c>
      <c r="AH22" s="87">
        <v>5103</v>
      </c>
      <c r="AI22" s="88">
        <v>3073</v>
      </c>
      <c r="AJ22" s="88">
        <v>3725</v>
      </c>
      <c r="AK22" s="88">
        <v>2650</v>
      </c>
      <c r="AL22" s="88">
        <v>3945</v>
      </c>
      <c r="AM22" s="88">
        <v>1760</v>
      </c>
      <c r="AN22" s="88">
        <v>1713</v>
      </c>
      <c r="AO22" s="88">
        <v>298</v>
      </c>
      <c r="AP22" s="88">
        <v>1106</v>
      </c>
      <c r="AQ22" s="89">
        <v>1058</v>
      </c>
      <c r="AR22" s="87">
        <v>674</v>
      </c>
      <c r="AS22" s="88">
        <v>1614</v>
      </c>
      <c r="AT22" s="88">
        <v>1563</v>
      </c>
      <c r="AU22" s="88">
        <v>228</v>
      </c>
      <c r="AV22" s="88">
        <v>-2174</v>
      </c>
      <c r="AW22" s="88">
        <v>3014</v>
      </c>
      <c r="AX22" s="88">
        <v>2208</v>
      </c>
      <c r="AY22" s="88">
        <v>1463</v>
      </c>
      <c r="AZ22" s="88">
        <v>157</v>
      </c>
      <c r="BA22" s="89">
        <v>-1021</v>
      </c>
      <c r="BB22" s="30">
        <v>-1700</v>
      </c>
      <c r="BC22" s="31">
        <v>1455</v>
      </c>
      <c r="BD22" s="31">
        <v>-683</v>
      </c>
      <c r="BE22" s="67">
        <v>1925</v>
      </c>
      <c r="BF22" s="67">
        <v>2213</v>
      </c>
      <c r="BG22" s="67">
        <v>3514</v>
      </c>
      <c r="BH22" s="88">
        <v>927</v>
      </c>
      <c r="BI22" s="88">
        <v>3228</v>
      </c>
      <c r="BJ22" s="88">
        <v>2302</v>
      </c>
      <c r="BK22" s="89">
        <v>2667</v>
      </c>
      <c r="BL22" s="87">
        <v>1803</v>
      </c>
      <c r="BM22" s="88">
        <v>3135</v>
      </c>
      <c r="BN22" s="88">
        <v>1925</v>
      </c>
      <c r="BO22" s="5">
        <f>'Annual Change'!BO22-'Natural Change'!BO22</f>
        <v>2770</v>
      </c>
      <c r="BP22" s="5">
        <f>'Annual Change'!BP22-'Natural Change'!BP22</f>
        <v>2668</v>
      </c>
      <c r="BQ22" s="89">
        <f>'Annual Change'!BQ22-'Natural Change'!BQ22</f>
        <v>2534</v>
      </c>
    </row>
    <row r="23" spans="1:69" x14ac:dyDescent="0.2">
      <c r="A23" s="20" t="s">
        <v>38</v>
      </c>
      <c r="B23" s="21" t="s">
        <v>39</v>
      </c>
      <c r="C23" s="25" t="s">
        <v>2</v>
      </c>
      <c r="D23" s="87">
        <v>210</v>
      </c>
      <c r="E23" s="88">
        <v>50</v>
      </c>
      <c r="F23" s="88">
        <v>310</v>
      </c>
      <c r="G23" s="88">
        <v>136</v>
      </c>
      <c r="H23" s="88">
        <v>309</v>
      </c>
      <c r="I23" s="88">
        <v>314</v>
      </c>
      <c r="J23" s="88">
        <v>672</v>
      </c>
      <c r="K23" s="88">
        <v>886</v>
      </c>
      <c r="L23" s="88">
        <v>-94</v>
      </c>
      <c r="M23" s="89">
        <v>214</v>
      </c>
      <c r="N23" s="87">
        <v>250</v>
      </c>
      <c r="O23" s="88">
        <v>-339</v>
      </c>
      <c r="P23" s="88">
        <v>-787</v>
      </c>
      <c r="Q23" s="88">
        <v>-181</v>
      </c>
      <c r="R23" s="88">
        <v>127</v>
      </c>
      <c r="S23" s="88">
        <v>294</v>
      </c>
      <c r="T23" s="88">
        <v>-212</v>
      </c>
      <c r="U23" s="88">
        <v>-310</v>
      </c>
      <c r="V23" s="88">
        <v>-308</v>
      </c>
      <c r="W23" s="89">
        <v>179</v>
      </c>
      <c r="X23" s="87">
        <v>117</v>
      </c>
      <c r="Y23" s="88">
        <v>-131</v>
      </c>
      <c r="Z23" s="88">
        <v>25</v>
      </c>
      <c r="AA23" s="88">
        <v>-89</v>
      </c>
      <c r="AB23" s="88">
        <v>-45</v>
      </c>
      <c r="AC23" s="88">
        <v>-212</v>
      </c>
      <c r="AD23" s="88">
        <v>81</v>
      </c>
      <c r="AE23" s="88">
        <v>344</v>
      </c>
      <c r="AF23" s="88">
        <v>71</v>
      </c>
      <c r="AG23" s="89">
        <v>585</v>
      </c>
      <c r="AH23" s="87">
        <v>362</v>
      </c>
      <c r="AI23" s="88">
        <v>374</v>
      </c>
      <c r="AJ23" s="88">
        <v>522</v>
      </c>
      <c r="AK23" s="88">
        <v>565</v>
      </c>
      <c r="AL23" s="88">
        <v>767</v>
      </c>
      <c r="AM23" s="88">
        <v>497</v>
      </c>
      <c r="AN23" s="88">
        <v>547</v>
      </c>
      <c r="AO23" s="88">
        <v>739</v>
      </c>
      <c r="AP23" s="88">
        <v>998</v>
      </c>
      <c r="AQ23" s="89">
        <v>310</v>
      </c>
      <c r="AR23" s="87">
        <v>427</v>
      </c>
      <c r="AS23" s="88">
        <v>491</v>
      </c>
      <c r="AT23" s="88">
        <v>870</v>
      </c>
      <c r="AU23" s="88">
        <v>1177</v>
      </c>
      <c r="AV23" s="88">
        <v>765</v>
      </c>
      <c r="AW23" s="88">
        <v>438</v>
      </c>
      <c r="AX23" s="88">
        <v>833</v>
      </c>
      <c r="AY23" s="88">
        <v>847</v>
      </c>
      <c r="AZ23" s="88">
        <v>459</v>
      </c>
      <c r="BA23" s="89">
        <v>39</v>
      </c>
      <c r="BB23" s="30">
        <v>211</v>
      </c>
      <c r="BC23" s="31">
        <v>10</v>
      </c>
      <c r="BD23" s="31">
        <v>-95</v>
      </c>
      <c r="BE23" s="67">
        <v>545</v>
      </c>
      <c r="BF23" s="67">
        <v>174</v>
      </c>
      <c r="BG23" s="67">
        <v>787</v>
      </c>
      <c r="BH23" s="88">
        <v>555</v>
      </c>
      <c r="BI23" s="88">
        <v>358</v>
      </c>
      <c r="BJ23" s="88">
        <v>705</v>
      </c>
      <c r="BK23" s="89">
        <v>1234</v>
      </c>
      <c r="BL23" s="87">
        <v>-1244</v>
      </c>
      <c r="BM23" s="88">
        <v>1969</v>
      </c>
      <c r="BN23" s="88">
        <v>73</v>
      </c>
      <c r="BO23" s="5">
        <f>'Annual Change'!BO23-'Natural Change'!BO23</f>
        <v>1318</v>
      </c>
      <c r="BP23" s="5">
        <f>'Annual Change'!BP23-'Natural Change'!BP23</f>
        <v>336</v>
      </c>
      <c r="BQ23" s="89">
        <f>'Annual Change'!BQ23-'Natural Change'!BQ23</f>
        <v>239</v>
      </c>
    </row>
    <row r="24" spans="1:69" x14ac:dyDescent="0.2">
      <c r="A24" s="20" t="s">
        <v>40</v>
      </c>
      <c r="B24" s="21" t="s">
        <v>41</v>
      </c>
      <c r="C24" s="25" t="s">
        <v>2</v>
      </c>
      <c r="D24" s="87">
        <v>-368</v>
      </c>
      <c r="E24" s="88">
        <v>-180</v>
      </c>
      <c r="F24" s="88">
        <v>-358</v>
      </c>
      <c r="G24" s="88">
        <v>-346</v>
      </c>
      <c r="H24" s="88">
        <v>-125</v>
      </c>
      <c r="I24" s="88">
        <v>-526</v>
      </c>
      <c r="J24" s="88">
        <v>5</v>
      </c>
      <c r="K24" s="88">
        <v>-55</v>
      </c>
      <c r="L24" s="88">
        <v>-158</v>
      </c>
      <c r="M24" s="89">
        <v>-437</v>
      </c>
      <c r="N24" s="87">
        <v>417</v>
      </c>
      <c r="O24" s="88">
        <v>-74</v>
      </c>
      <c r="P24" s="88">
        <v>4</v>
      </c>
      <c r="Q24" s="88">
        <v>12</v>
      </c>
      <c r="R24" s="88">
        <v>520</v>
      </c>
      <c r="S24" s="88">
        <v>80</v>
      </c>
      <c r="T24" s="88">
        <v>268</v>
      </c>
      <c r="U24" s="88">
        <v>493</v>
      </c>
      <c r="V24" s="88">
        <v>459</v>
      </c>
      <c r="W24" s="89">
        <v>485</v>
      </c>
      <c r="X24" s="87">
        <v>241</v>
      </c>
      <c r="Y24" s="88">
        <v>-151</v>
      </c>
      <c r="Z24" s="88">
        <v>-54</v>
      </c>
      <c r="AA24" s="88">
        <v>-83</v>
      </c>
      <c r="AB24" s="88">
        <v>53</v>
      </c>
      <c r="AC24" s="88">
        <v>-464</v>
      </c>
      <c r="AD24" s="88">
        <v>-224</v>
      </c>
      <c r="AE24" s="88">
        <v>-32</v>
      </c>
      <c r="AF24" s="88">
        <v>107</v>
      </c>
      <c r="AG24" s="89">
        <v>301</v>
      </c>
      <c r="AH24" s="87">
        <v>65</v>
      </c>
      <c r="AI24" s="88">
        <v>-15</v>
      </c>
      <c r="AJ24" s="88">
        <v>135</v>
      </c>
      <c r="AK24" s="88">
        <v>157</v>
      </c>
      <c r="AL24" s="88">
        <v>246</v>
      </c>
      <c r="AM24" s="88">
        <v>239</v>
      </c>
      <c r="AN24" s="88">
        <v>248</v>
      </c>
      <c r="AO24" s="88">
        <v>233</v>
      </c>
      <c r="AP24" s="88">
        <v>223</v>
      </c>
      <c r="AQ24" s="89">
        <v>220</v>
      </c>
      <c r="AR24" s="87">
        <v>41</v>
      </c>
      <c r="AS24" s="88">
        <v>38</v>
      </c>
      <c r="AT24" s="88">
        <v>13</v>
      </c>
      <c r="AU24" s="88">
        <v>127</v>
      </c>
      <c r="AV24" s="88">
        <v>62</v>
      </c>
      <c r="AW24" s="88">
        <v>174</v>
      </c>
      <c r="AX24" s="88">
        <v>79</v>
      </c>
      <c r="AY24" s="88">
        <v>63</v>
      </c>
      <c r="AZ24" s="88">
        <v>-11</v>
      </c>
      <c r="BA24" s="89">
        <v>17</v>
      </c>
      <c r="BB24" s="30">
        <v>135</v>
      </c>
      <c r="BC24" s="31">
        <v>144</v>
      </c>
      <c r="BD24" s="31">
        <v>81</v>
      </c>
      <c r="BE24" s="67">
        <v>210</v>
      </c>
      <c r="BF24" s="67">
        <v>149</v>
      </c>
      <c r="BG24" s="67">
        <v>227</v>
      </c>
      <c r="BH24" s="88">
        <v>340</v>
      </c>
      <c r="BI24" s="88">
        <v>262</v>
      </c>
      <c r="BJ24" s="88">
        <v>359</v>
      </c>
      <c r="BK24" s="89">
        <v>300</v>
      </c>
      <c r="BL24" s="87">
        <v>305</v>
      </c>
      <c r="BM24" s="88">
        <v>236</v>
      </c>
      <c r="BN24" s="88">
        <v>146</v>
      </c>
      <c r="BO24" s="5">
        <f>'Annual Change'!BO24-'Natural Change'!BO24</f>
        <v>247</v>
      </c>
      <c r="BP24" s="5">
        <f>'Annual Change'!BP24-'Natural Change'!BP24</f>
        <v>171</v>
      </c>
      <c r="BQ24" s="89">
        <f>'Annual Change'!BQ24-'Natural Change'!BQ24</f>
        <v>71</v>
      </c>
    </row>
    <row r="25" spans="1:69" x14ac:dyDescent="0.2">
      <c r="A25" s="20" t="s">
        <v>42</v>
      </c>
      <c r="B25" s="21" t="s">
        <v>43</v>
      </c>
      <c r="C25" s="25" t="s">
        <v>2</v>
      </c>
      <c r="D25" s="87">
        <v>127</v>
      </c>
      <c r="E25" s="88">
        <v>-96</v>
      </c>
      <c r="F25" s="88">
        <v>-287</v>
      </c>
      <c r="G25" s="88">
        <v>-256</v>
      </c>
      <c r="H25" s="88">
        <v>349</v>
      </c>
      <c r="I25" s="88">
        <v>310</v>
      </c>
      <c r="J25" s="88">
        <v>588</v>
      </c>
      <c r="K25" s="88">
        <v>986</v>
      </c>
      <c r="L25" s="88">
        <v>198</v>
      </c>
      <c r="M25" s="89">
        <v>-408</v>
      </c>
      <c r="N25" s="87">
        <v>524</v>
      </c>
      <c r="O25" s="88">
        <v>-10</v>
      </c>
      <c r="P25" s="88">
        <v>398</v>
      </c>
      <c r="Q25" s="88">
        <v>281</v>
      </c>
      <c r="R25" s="88">
        <v>995</v>
      </c>
      <c r="S25" s="88">
        <v>121</v>
      </c>
      <c r="T25" s="88">
        <v>760</v>
      </c>
      <c r="U25" s="88">
        <v>929</v>
      </c>
      <c r="V25" s="88">
        <v>1593</v>
      </c>
      <c r="W25" s="89">
        <v>2039</v>
      </c>
      <c r="X25" s="87">
        <v>-402</v>
      </c>
      <c r="Y25" s="88">
        <v>-415</v>
      </c>
      <c r="Z25" s="88">
        <v>-546</v>
      </c>
      <c r="AA25" s="88">
        <v>393</v>
      </c>
      <c r="AB25" s="88">
        <v>-461</v>
      </c>
      <c r="AC25" s="88">
        <v>-77</v>
      </c>
      <c r="AD25" s="88">
        <v>128</v>
      </c>
      <c r="AE25" s="88">
        <v>396</v>
      </c>
      <c r="AF25" s="88">
        <v>425</v>
      </c>
      <c r="AG25" s="89">
        <v>615</v>
      </c>
      <c r="AH25" s="87">
        <v>356</v>
      </c>
      <c r="AI25" s="88">
        <v>412</v>
      </c>
      <c r="AJ25" s="88">
        <v>687</v>
      </c>
      <c r="AK25" s="88">
        <v>780</v>
      </c>
      <c r="AL25" s="88">
        <v>1177</v>
      </c>
      <c r="AM25" s="88">
        <v>1044</v>
      </c>
      <c r="AN25" s="88">
        <v>949</v>
      </c>
      <c r="AO25" s="88">
        <v>787</v>
      </c>
      <c r="AP25" s="88">
        <v>521</v>
      </c>
      <c r="AQ25" s="89">
        <v>591</v>
      </c>
      <c r="AR25" s="87">
        <v>641</v>
      </c>
      <c r="AS25" s="88">
        <v>655</v>
      </c>
      <c r="AT25" s="88">
        <v>118</v>
      </c>
      <c r="AU25" s="88">
        <v>676</v>
      </c>
      <c r="AV25" s="88">
        <v>624</v>
      </c>
      <c r="AW25" s="88">
        <v>1153</v>
      </c>
      <c r="AX25" s="88">
        <v>745</v>
      </c>
      <c r="AY25" s="88">
        <v>632</v>
      </c>
      <c r="AZ25" s="88">
        <v>172</v>
      </c>
      <c r="BA25" s="89">
        <v>-3</v>
      </c>
      <c r="BB25" s="30">
        <v>722</v>
      </c>
      <c r="BC25" s="31">
        <v>422</v>
      </c>
      <c r="BD25" s="31">
        <v>183</v>
      </c>
      <c r="BE25" s="67">
        <v>550</v>
      </c>
      <c r="BF25" s="67">
        <v>393</v>
      </c>
      <c r="BG25" s="67">
        <v>528</v>
      </c>
      <c r="BH25" s="88">
        <v>866</v>
      </c>
      <c r="BI25" s="88">
        <v>840</v>
      </c>
      <c r="BJ25" s="88">
        <v>954</v>
      </c>
      <c r="BK25" s="89">
        <v>973</v>
      </c>
      <c r="BL25" s="87">
        <v>727</v>
      </c>
      <c r="BM25" s="88">
        <v>971</v>
      </c>
      <c r="BN25" s="88">
        <v>814</v>
      </c>
      <c r="BO25" s="5">
        <f>'Annual Change'!BO25-'Natural Change'!BO25</f>
        <v>1016</v>
      </c>
      <c r="BP25" s="5">
        <f>'Annual Change'!BP25-'Natural Change'!BP25</f>
        <v>659</v>
      </c>
      <c r="BQ25" s="89">
        <f>'Annual Change'!BQ25-'Natural Change'!BQ25</f>
        <v>1077</v>
      </c>
    </row>
    <row r="26" spans="1:69" x14ac:dyDescent="0.2">
      <c r="A26" s="20" t="s">
        <v>44</v>
      </c>
      <c r="B26" s="21" t="s">
        <v>45</v>
      </c>
      <c r="C26" s="25" t="s">
        <v>2</v>
      </c>
      <c r="D26" s="87">
        <v>-320</v>
      </c>
      <c r="E26" s="88">
        <v>-215</v>
      </c>
      <c r="F26" s="88">
        <v>-264</v>
      </c>
      <c r="G26" s="88">
        <v>-269</v>
      </c>
      <c r="H26" s="88">
        <v>-147</v>
      </c>
      <c r="I26" s="88">
        <v>-124</v>
      </c>
      <c r="J26" s="88">
        <v>-8</v>
      </c>
      <c r="K26" s="88">
        <v>-23</v>
      </c>
      <c r="L26" s="88">
        <v>-320</v>
      </c>
      <c r="M26" s="89">
        <v>-128</v>
      </c>
      <c r="N26" s="87">
        <v>25</v>
      </c>
      <c r="O26" s="88">
        <v>-21</v>
      </c>
      <c r="P26" s="88">
        <v>4</v>
      </c>
      <c r="Q26" s="88">
        <v>-90</v>
      </c>
      <c r="R26" s="88">
        <v>-17</v>
      </c>
      <c r="S26" s="88">
        <v>76</v>
      </c>
      <c r="T26" s="88">
        <v>-33</v>
      </c>
      <c r="U26" s="88">
        <v>-12</v>
      </c>
      <c r="V26" s="88">
        <v>-12</v>
      </c>
      <c r="W26" s="89">
        <v>-56</v>
      </c>
      <c r="X26" s="87">
        <v>-73</v>
      </c>
      <c r="Y26" s="88">
        <v>-101</v>
      </c>
      <c r="Z26" s="88">
        <v>-180</v>
      </c>
      <c r="AA26" s="88">
        <v>-77</v>
      </c>
      <c r="AB26" s="88">
        <v>-67</v>
      </c>
      <c r="AC26" s="88">
        <v>-306</v>
      </c>
      <c r="AD26" s="88">
        <v>-29</v>
      </c>
      <c r="AE26" s="88">
        <v>17</v>
      </c>
      <c r="AF26" s="88">
        <v>-4</v>
      </c>
      <c r="AG26" s="89">
        <v>-52</v>
      </c>
      <c r="AH26" s="87">
        <v>88</v>
      </c>
      <c r="AI26" s="88">
        <v>33</v>
      </c>
      <c r="AJ26" s="88">
        <v>77</v>
      </c>
      <c r="AK26" s="88">
        <v>118</v>
      </c>
      <c r="AL26" s="88">
        <v>167</v>
      </c>
      <c r="AM26" s="88">
        <v>160</v>
      </c>
      <c r="AN26" s="88">
        <v>158</v>
      </c>
      <c r="AO26" s="88">
        <v>201</v>
      </c>
      <c r="AP26" s="88">
        <v>189</v>
      </c>
      <c r="AQ26" s="89">
        <v>174</v>
      </c>
      <c r="AR26" s="87">
        <v>154</v>
      </c>
      <c r="AS26" s="88">
        <v>-21</v>
      </c>
      <c r="AT26" s="88">
        <v>-106</v>
      </c>
      <c r="AU26" s="88">
        <v>165</v>
      </c>
      <c r="AV26" s="88">
        <v>74</v>
      </c>
      <c r="AW26" s="88">
        <v>104</v>
      </c>
      <c r="AX26" s="88">
        <v>90</v>
      </c>
      <c r="AY26" s="88">
        <v>102</v>
      </c>
      <c r="AZ26" s="88">
        <v>30</v>
      </c>
      <c r="BA26" s="89">
        <v>-29</v>
      </c>
      <c r="BB26" s="30">
        <v>51</v>
      </c>
      <c r="BC26" s="31">
        <v>31</v>
      </c>
      <c r="BD26" s="31">
        <v>-21</v>
      </c>
      <c r="BE26" s="67">
        <v>9</v>
      </c>
      <c r="BF26" s="67">
        <v>37</v>
      </c>
      <c r="BG26" s="67">
        <v>26</v>
      </c>
      <c r="BH26" s="88">
        <v>82</v>
      </c>
      <c r="BI26" s="88">
        <v>88</v>
      </c>
      <c r="BJ26" s="88">
        <v>98</v>
      </c>
      <c r="BK26" s="89">
        <v>57</v>
      </c>
      <c r="BL26" s="87">
        <v>39</v>
      </c>
      <c r="BM26" s="88">
        <v>195</v>
      </c>
      <c r="BN26" s="88">
        <v>112</v>
      </c>
      <c r="BO26" s="5">
        <f>'Annual Change'!BO26-'Natural Change'!BO26</f>
        <v>201</v>
      </c>
      <c r="BP26" s="5">
        <f>'Annual Change'!BP26-'Natural Change'!BP26</f>
        <v>-36</v>
      </c>
      <c r="BQ26" s="89">
        <f>'Annual Change'!BQ26-'Natural Change'!BQ26</f>
        <v>48</v>
      </c>
    </row>
    <row r="27" spans="1:69" x14ac:dyDescent="0.2">
      <c r="A27" s="20" t="s">
        <v>46</v>
      </c>
      <c r="B27" s="21" t="s">
        <v>47</v>
      </c>
      <c r="C27" s="25" t="s">
        <v>2</v>
      </c>
      <c r="D27" s="87">
        <v>53</v>
      </c>
      <c r="E27" s="88">
        <v>471</v>
      </c>
      <c r="F27" s="88">
        <v>-39</v>
      </c>
      <c r="G27" s="88">
        <v>83</v>
      </c>
      <c r="H27" s="88">
        <v>265</v>
      </c>
      <c r="I27" s="88">
        <v>471</v>
      </c>
      <c r="J27" s="88">
        <v>630</v>
      </c>
      <c r="K27" s="88">
        <v>403</v>
      </c>
      <c r="L27" s="88">
        <v>519</v>
      </c>
      <c r="M27" s="89">
        <v>572</v>
      </c>
      <c r="N27" s="87">
        <v>-30</v>
      </c>
      <c r="O27" s="88">
        <v>-271</v>
      </c>
      <c r="P27" s="88">
        <v>190</v>
      </c>
      <c r="Q27" s="88">
        <v>908</v>
      </c>
      <c r="R27" s="88">
        <v>1314</v>
      </c>
      <c r="S27" s="88">
        <v>1430</v>
      </c>
      <c r="T27" s="88">
        <v>879</v>
      </c>
      <c r="U27" s="88">
        <v>1370</v>
      </c>
      <c r="V27" s="88">
        <v>1484</v>
      </c>
      <c r="W27" s="89">
        <v>1700</v>
      </c>
      <c r="X27" s="87">
        <v>698</v>
      </c>
      <c r="Y27" s="88">
        <v>529</v>
      </c>
      <c r="Z27" s="88">
        <v>633</v>
      </c>
      <c r="AA27" s="88">
        <v>1049</v>
      </c>
      <c r="AB27" s="88">
        <v>-92</v>
      </c>
      <c r="AC27" s="88">
        <v>408</v>
      </c>
      <c r="AD27" s="88">
        <v>470</v>
      </c>
      <c r="AE27" s="88">
        <v>563</v>
      </c>
      <c r="AF27" s="88">
        <v>620</v>
      </c>
      <c r="AG27" s="89">
        <v>491</v>
      </c>
      <c r="AH27" s="87">
        <v>960</v>
      </c>
      <c r="AI27" s="88">
        <v>969</v>
      </c>
      <c r="AJ27" s="88">
        <v>1070</v>
      </c>
      <c r="AK27" s="88">
        <v>1152</v>
      </c>
      <c r="AL27" s="88">
        <v>1084</v>
      </c>
      <c r="AM27" s="88">
        <v>1110</v>
      </c>
      <c r="AN27" s="88">
        <v>1039</v>
      </c>
      <c r="AO27" s="88">
        <v>983</v>
      </c>
      <c r="AP27" s="88">
        <v>972</v>
      </c>
      <c r="AQ27" s="89">
        <v>926</v>
      </c>
      <c r="AR27" s="87">
        <v>546</v>
      </c>
      <c r="AS27" s="88">
        <v>973</v>
      </c>
      <c r="AT27" s="88">
        <v>905</v>
      </c>
      <c r="AU27" s="88">
        <v>1230</v>
      </c>
      <c r="AV27" s="88">
        <v>1492</v>
      </c>
      <c r="AW27" s="88">
        <v>1440</v>
      </c>
      <c r="AX27" s="88">
        <v>1822</v>
      </c>
      <c r="AY27" s="88">
        <v>1415</v>
      </c>
      <c r="AZ27" s="88">
        <v>623</v>
      </c>
      <c r="BA27" s="89">
        <v>331</v>
      </c>
      <c r="BB27" s="30">
        <v>550</v>
      </c>
      <c r="BC27" s="31">
        <v>366</v>
      </c>
      <c r="BD27" s="31">
        <v>256</v>
      </c>
      <c r="BE27" s="67">
        <v>433</v>
      </c>
      <c r="BF27" s="67">
        <v>232</v>
      </c>
      <c r="BG27" s="67">
        <v>622</v>
      </c>
      <c r="BH27" s="88">
        <v>768</v>
      </c>
      <c r="BI27" s="88">
        <v>834</v>
      </c>
      <c r="BJ27" s="88">
        <v>506</v>
      </c>
      <c r="BK27" s="89">
        <v>699</v>
      </c>
      <c r="BL27" s="87">
        <v>145</v>
      </c>
      <c r="BM27" s="88">
        <v>722</v>
      </c>
      <c r="BN27" s="88">
        <v>956</v>
      </c>
      <c r="BO27" s="5">
        <f>'Annual Change'!BO27-'Natural Change'!BO27</f>
        <v>680</v>
      </c>
      <c r="BP27" s="5">
        <f>'Annual Change'!BP27-'Natural Change'!BP27</f>
        <v>488</v>
      </c>
      <c r="BQ27" s="89">
        <f>'Annual Change'!BQ27-'Natural Change'!BQ27</f>
        <v>334</v>
      </c>
    </row>
    <row r="28" spans="1:69" x14ac:dyDescent="0.2">
      <c r="A28" s="20" t="s">
        <v>48</v>
      </c>
      <c r="B28" s="21" t="s">
        <v>49</v>
      </c>
      <c r="C28" s="25" t="s">
        <v>2</v>
      </c>
      <c r="D28" s="87">
        <v>-356</v>
      </c>
      <c r="E28" s="88">
        <v>-378</v>
      </c>
      <c r="F28" s="88">
        <v>-585</v>
      </c>
      <c r="G28" s="88">
        <v>-191</v>
      </c>
      <c r="H28" s="88">
        <v>-74</v>
      </c>
      <c r="I28" s="88">
        <v>-212</v>
      </c>
      <c r="J28" s="88">
        <v>73</v>
      </c>
      <c r="K28" s="88">
        <v>274</v>
      </c>
      <c r="L28" s="88">
        <v>-598</v>
      </c>
      <c r="M28" s="89">
        <v>636</v>
      </c>
      <c r="N28" s="87">
        <v>294</v>
      </c>
      <c r="O28" s="88">
        <v>-85</v>
      </c>
      <c r="P28" s="88">
        <v>-455</v>
      </c>
      <c r="Q28" s="88">
        <v>79</v>
      </c>
      <c r="R28" s="88">
        <v>332</v>
      </c>
      <c r="S28" s="88">
        <v>627</v>
      </c>
      <c r="T28" s="88">
        <v>520</v>
      </c>
      <c r="U28" s="88">
        <v>584</v>
      </c>
      <c r="V28" s="88">
        <v>657</v>
      </c>
      <c r="W28" s="89">
        <v>395</v>
      </c>
      <c r="X28" s="87">
        <v>184</v>
      </c>
      <c r="Y28" s="88">
        <v>198</v>
      </c>
      <c r="Z28" s="88">
        <v>311</v>
      </c>
      <c r="AA28" s="88">
        <v>-4</v>
      </c>
      <c r="AB28" s="88">
        <v>-230</v>
      </c>
      <c r="AC28" s="88">
        <v>-331</v>
      </c>
      <c r="AD28" s="88">
        <v>-156</v>
      </c>
      <c r="AE28" s="88">
        <v>-4</v>
      </c>
      <c r="AF28" s="88">
        <v>30</v>
      </c>
      <c r="AG28" s="89">
        <v>96</v>
      </c>
      <c r="AH28" s="87">
        <v>239</v>
      </c>
      <c r="AI28" s="88">
        <v>290</v>
      </c>
      <c r="AJ28" s="88">
        <v>392</v>
      </c>
      <c r="AK28" s="88">
        <v>465</v>
      </c>
      <c r="AL28" s="88">
        <v>761</v>
      </c>
      <c r="AM28" s="88">
        <v>586</v>
      </c>
      <c r="AN28" s="88">
        <v>537</v>
      </c>
      <c r="AO28" s="88">
        <v>222</v>
      </c>
      <c r="AP28" s="88">
        <v>291</v>
      </c>
      <c r="AQ28" s="89">
        <v>288</v>
      </c>
      <c r="AR28" s="87">
        <v>110</v>
      </c>
      <c r="AS28" s="88">
        <v>20</v>
      </c>
      <c r="AT28" s="88">
        <v>-35</v>
      </c>
      <c r="AU28" s="88">
        <v>25</v>
      </c>
      <c r="AV28" s="88">
        <v>-42</v>
      </c>
      <c r="AW28" s="88">
        <v>215</v>
      </c>
      <c r="AX28" s="88">
        <v>-451</v>
      </c>
      <c r="AY28" s="88">
        <v>-32</v>
      </c>
      <c r="AZ28" s="88">
        <v>228</v>
      </c>
      <c r="BA28" s="89">
        <v>-57</v>
      </c>
      <c r="BB28" s="30">
        <v>-16</v>
      </c>
      <c r="BC28" s="31">
        <v>-88</v>
      </c>
      <c r="BD28" s="31">
        <v>-60</v>
      </c>
      <c r="BE28" s="67">
        <v>57</v>
      </c>
      <c r="BF28" s="67">
        <v>-19</v>
      </c>
      <c r="BG28" s="67">
        <v>163</v>
      </c>
      <c r="BH28" s="88">
        <v>-34</v>
      </c>
      <c r="BI28" s="88">
        <v>51</v>
      </c>
      <c r="BJ28" s="88">
        <v>50</v>
      </c>
      <c r="BK28" s="89">
        <v>99</v>
      </c>
      <c r="BL28" s="87">
        <v>318</v>
      </c>
      <c r="BM28" s="88">
        <v>536</v>
      </c>
      <c r="BN28" s="88">
        <v>343</v>
      </c>
      <c r="BO28" s="5">
        <f>'Annual Change'!BO28-'Natural Change'!BO28</f>
        <v>328</v>
      </c>
      <c r="BP28" s="5">
        <f>'Annual Change'!BP28-'Natural Change'!BP28</f>
        <v>319</v>
      </c>
      <c r="BQ28" s="89">
        <f>'Annual Change'!BQ28-'Natural Change'!BQ28</f>
        <v>183</v>
      </c>
    </row>
    <row r="29" spans="1:69" x14ac:dyDescent="0.2">
      <c r="A29" s="20" t="s">
        <v>35</v>
      </c>
      <c r="B29" s="21" t="s">
        <v>50</v>
      </c>
      <c r="C29" s="25" t="s">
        <v>2</v>
      </c>
      <c r="D29" s="87">
        <v>-254</v>
      </c>
      <c r="E29" s="88">
        <v>161</v>
      </c>
      <c r="F29" s="88">
        <v>126</v>
      </c>
      <c r="G29" s="88">
        <v>-206</v>
      </c>
      <c r="H29" s="88">
        <v>-30</v>
      </c>
      <c r="I29" s="88">
        <v>257</v>
      </c>
      <c r="J29" s="88">
        <v>-485</v>
      </c>
      <c r="K29" s="88">
        <v>281</v>
      </c>
      <c r="L29" s="88">
        <v>495</v>
      </c>
      <c r="M29" s="89">
        <v>472</v>
      </c>
      <c r="N29" s="87">
        <v>-226</v>
      </c>
      <c r="O29" s="88">
        <v>-185</v>
      </c>
      <c r="P29" s="88">
        <v>120</v>
      </c>
      <c r="Q29" s="88">
        <v>197</v>
      </c>
      <c r="R29" s="88">
        <v>86</v>
      </c>
      <c r="S29" s="88">
        <v>271</v>
      </c>
      <c r="T29" s="88">
        <v>174</v>
      </c>
      <c r="U29" s="88">
        <v>371</v>
      </c>
      <c r="V29" s="88">
        <v>160</v>
      </c>
      <c r="W29" s="89">
        <v>265</v>
      </c>
      <c r="X29" s="87">
        <v>376</v>
      </c>
      <c r="Y29" s="88">
        <v>36</v>
      </c>
      <c r="Z29" s="88">
        <v>108</v>
      </c>
      <c r="AA29" s="88">
        <v>29</v>
      </c>
      <c r="AB29" s="88">
        <v>-187</v>
      </c>
      <c r="AC29" s="88">
        <v>-86</v>
      </c>
      <c r="AD29" s="88">
        <v>81</v>
      </c>
      <c r="AE29" s="88">
        <v>466</v>
      </c>
      <c r="AF29" s="88">
        <v>242</v>
      </c>
      <c r="AG29" s="89">
        <v>498</v>
      </c>
      <c r="AH29" s="87">
        <v>176</v>
      </c>
      <c r="AI29" s="88">
        <v>260</v>
      </c>
      <c r="AJ29" s="88">
        <v>233</v>
      </c>
      <c r="AK29" s="88">
        <v>298</v>
      </c>
      <c r="AL29" s="88">
        <v>301</v>
      </c>
      <c r="AM29" s="88">
        <v>301</v>
      </c>
      <c r="AN29" s="88">
        <v>278</v>
      </c>
      <c r="AO29" s="88">
        <v>285</v>
      </c>
      <c r="AP29" s="88">
        <v>238</v>
      </c>
      <c r="AQ29" s="89">
        <v>270</v>
      </c>
      <c r="AR29" s="87">
        <v>73</v>
      </c>
      <c r="AS29" s="88">
        <v>56</v>
      </c>
      <c r="AT29" s="88">
        <v>-89</v>
      </c>
      <c r="AU29" s="88">
        <v>100</v>
      </c>
      <c r="AV29" s="88">
        <v>91</v>
      </c>
      <c r="AW29" s="88">
        <v>289</v>
      </c>
      <c r="AX29" s="88">
        <v>-17</v>
      </c>
      <c r="AY29" s="88">
        <v>46</v>
      </c>
      <c r="AZ29" s="88">
        <v>225</v>
      </c>
      <c r="BA29" s="89">
        <v>149</v>
      </c>
      <c r="BB29" s="30">
        <v>308</v>
      </c>
      <c r="BC29" s="31">
        <v>303</v>
      </c>
      <c r="BD29" s="31">
        <v>312</v>
      </c>
      <c r="BE29" s="67">
        <v>347</v>
      </c>
      <c r="BF29" s="67">
        <v>304</v>
      </c>
      <c r="BG29" s="67">
        <v>390</v>
      </c>
      <c r="BH29" s="88">
        <v>317</v>
      </c>
      <c r="BI29" s="88">
        <v>439</v>
      </c>
      <c r="BJ29" s="88">
        <v>394</v>
      </c>
      <c r="BK29" s="89">
        <v>580</v>
      </c>
      <c r="BL29" s="87">
        <v>218</v>
      </c>
      <c r="BM29" s="88">
        <v>464</v>
      </c>
      <c r="BN29" s="88">
        <v>409</v>
      </c>
      <c r="BO29" s="5">
        <f>'Annual Change'!BO29-'Natural Change'!BO29</f>
        <v>421</v>
      </c>
      <c r="BP29" s="5">
        <f>'Annual Change'!BP29-'Natural Change'!BP29</f>
        <v>220</v>
      </c>
      <c r="BQ29" s="89">
        <f>'Annual Change'!BQ29-'Natural Change'!BQ29</f>
        <v>228</v>
      </c>
    </row>
    <row r="30" spans="1:69" x14ac:dyDescent="0.2">
      <c r="A30" s="20" t="s">
        <v>51</v>
      </c>
      <c r="B30" s="21" t="s">
        <v>52</v>
      </c>
      <c r="C30" s="25" t="s">
        <v>2</v>
      </c>
      <c r="D30" s="87">
        <v>-287</v>
      </c>
      <c r="E30" s="88">
        <v>42</v>
      </c>
      <c r="F30" s="88">
        <v>-364</v>
      </c>
      <c r="G30" s="88">
        <v>-255</v>
      </c>
      <c r="H30" s="88">
        <v>-275</v>
      </c>
      <c r="I30" s="88">
        <v>13</v>
      </c>
      <c r="J30" s="88">
        <v>-135</v>
      </c>
      <c r="K30" s="88">
        <v>-118</v>
      </c>
      <c r="L30" s="88">
        <v>-4</v>
      </c>
      <c r="M30" s="89">
        <v>-2</v>
      </c>
      <c r="N30" s="87">
        <v>147</v>
      </c>
      <c r="O30" s="88">
        <v>149</v>
      </c>
      <c r="P30" s="88">
        <v>251</v>
      </c>
      <c r="Q30" s="88">
        <v>354</v>
      </c>
      <c r="R30" s="88">
        <v>460</v>
      </c>
      <c r="S30" s="88">
        <v>148</v>
      </c>
      <c r="T30" s="88">
        <v>141</v>
      </c>
      <c r="U30" s="88">
        <v>242</v>
      </c>
      <c r="V30" s="88">
        <v>17</v>
      </c>
      <c r="W30" s="89">
        <v>88</v>
      </c>
      <c r="X30" s="87">
        <v>12</v>
      </c>
      <c r="Y30" s="88">
        <v>-94</v>
      </c>
      <c r="Z30" s="88">
        <v>44</v>
      </c>
      <c r="AA30" s="88">
        <v>9</v>
      </c>
      <c r="AB30" s="88">
        <v>-68</v>
      </c>
      <c r="AC30" s="88">
        <v>-47</v>
      </c>
      <c r="AD30" s="88">
        <v>-4</v>
      </c>
      <c r="AE30" s="88">
        <v>-13</v>
      </c>
      <c r="AF30" s="88">
        <v>-45</v>
      </c>
      <c r="AG30" s="89">
        <v>73</v>
      </c>
      <c r="AH30" s="87">
        <v>183</v>
      </c>
      <c r="AI30" s="88">
        <v>146</v>
      </c>
      <c r="AJ30" s="88">
        <v>237</v>
      </c>
      <c r="AK30" s="88">
        <v>245</v>
      </c>
      <c r="AL30" s="88">
        <v>298</v>
      </c>
      <c r="AM30" s="88">
        <v>271</v>
      </c>
      <c r="AN30" s="88">
        <v>256</v>
      </c>
      <c r="AO30" s="88">
        <v>290</v>
      </c>
      <c r="AP30" s="88">
        <v>267</v>
      </c>
      <c r="AQ30" s="89">
        <v>267</v>
      </c>
      <c r="AR30" s="87">
        <v>187</v>
      </c>
      <c r="AS30" s="88">
        <v>84</v>
      </c>
      <c r="AT30" s="88">
        <v>124</v>
      </c>
      <c r="AU30" s="88">
        <v>97</v>
      </c>
      <c r="AV30" s="88">
        <v>169</v>
      </c>
      <c r="AW30" s="88">
        <v>113</v>
      </c>
      <c r="AX30" s="88">
        <v>230</v>
      </c>
      <c r="AY30" s="88">
        <v>151</v>
      </c>
      <c r="AZ30" s="88">
        <v>119</v>
      </c>
      <c r="BA30" s="89">
        <v>44</v>
      </c>
      <c r="BB30" s="30">
        <v>103</v>
      </c>
      <c r="BC30" s="31">
        <v>85</v>
      </c>
      <c r="BD30" s="31">
        <v>37</v>
      </c>
      <c r="BE30" s="67">
        <v>47</v>
      </c>
      <c r="BF30" s="67">
        <v>28</v>
      </c>
      <c r="BG30" s="67">
        <v>62</v>
      </c>
      <c r="BH30" s="88">
        <v>76</v>
      </c>
      <c r="BI30" s="88">
        <v>87</v>
      </c>
      <c r="BJ30" s="88">
        <v>114</v>
      </c>
      <c r="BK30" s="89">
        <v>110</v>
      </c>
      <c r="BL30" s="87">
        <v>154</v>
      </c>
      <c r="BM30" s="88">
        <v>271</v>
      </c>
      <c r="BN30" s="88">
        <v>231</v>
      </c>
      <c r="BO30" s="5">
        <f>'Annual Change'!BO30-'Natural Change'!BO30</f>
        <v>197</v>
      </c>
      <c r="BP30" s="5">
        <f>'Annual Change'!BP30-'Natural Change'!BP30</f>
        <v>136</v>
      </c>
      <c r="BQ30" s="89">
        <f>'Annual Change'!BQ30-'Natural Change'!BQ30</f>
        <v>194</v>
      </c>
    </row>
    <row r="31" spans="1:69" x14ac:dyDescent="0.2">
      <c r="A31" s="20" t="s">
        <v>53</v>
      </c>
      <c r="B31" s="21" t="s">
        <v>461</v>
      </c>
      <c r="C31" s="25" t="s">
        <v>2</v>
      </c>
      <c r="D31" s="87">
        <v>2372</v>
      </c>
      <c r="E31" s="88">
        <v>2966</v>
      </c>
      <c r="F31" s="88">
        <v>280</v>
      </c>
      <c r="G31" s="88">
        <v>1874</v>
      </c>
      <c r="H31" s="88">
        <v>5069</v>
      </c>
      <c r="I31" s="88">
        <v>6042</v>
      </c>
      <c r="J31" s="88">
        <v>11319</v>
      </c>
      <c r="K31" s="88">
        <v>10984</v>
      </c>
      <c r="L31" s="88">
        <v>9699</v>
      </c>
      <c r="M31" s="89">
        <v>-4035</v>
      </c>
      <c r="N31" s="87">
        <v>6040</v>
      </c>
      <c r="O31" s="88">
        <v>-23460</v>
      </c>
      <c r="P31" s="88">
        <v>-5425</v>
      </c>
      <c r="Q31" s="88">
        <v>10275</v>
      </c>
      <c r="R31" s="88">
        <v>4619</v>
      </c>
      <c r="S31" s="88">
        <v>5504</v>
      </c>
      <c r="T31" s="88">
        <v>1514</v>
      </c>
      <c r="U31" s="88">
        <v>13800</v>
      </c>
      <c r="V31" s="88">
        <v>9481</v>
      </c>
      <c r="W31" s="89">
        <v>11500</v>
      </c>
      <c r="X31" s="87">
        <v>11044</v>
      </c>
      <c r="Y31" s="88">
        <v>-2154</v>
      </c>
      <c r="Z31" s="88">
        <v>894</v>
      </c>
      <c r="AA31" s="88">
        <v>2503</v>
      </c>
      <c r="AB31" s="88">
        <v>3819</v>
      </c>
      <c r="AC31" s="88">
        <v>802</v>
      </c>
      <c r="AD31" s="88">
        <v>4435</v>
      </c>
      <c r="AE31" s="88">
        <v>6405</v>
      </c>
      <c r="AF31" s="88">
        <v>9639</v>
      </c>
      <c r="AG31" s="89">
        <v>6735</v>
      </c>
      <c r="AH31" s="87">
        <v>5640</v>
      </c>
      <c r="AI31" s="88">
        <v>6362</v>
      </c>
      <c r="AJ31" s="88">
        <v>7289</v>
      </c>
      <c r="AK31" s="88">
        <v>7685</v>
      </c>
      <c r="AL31" s="88">
        <v>7497</v>
      </c>
      <c r="AM31" s="88">
        <v>-606</v>
      </c>
      <c r="AN31" s="88">
        <v>6132</v>
      </c>
      <c r="AO31" s="88">
        <v>6648</v>
      </c>
      <c r="AP31" s="88">
        <v>8379</v>
      </c>
      <c r="AQ31" s="89">
        <v>7086</v>
      </c>
      <c r="AR31" s="87">
        <v>3535</v>
      </c>
      <c r="AS31" s="88">
        <v>7190</v>
      </c>
      <c r="AT31" s="88">
        <v>6208</v>
      </c>
      <c r="AU31" s="88">
        <v>7053</v>
      </c>
      <c r="AV31" s="88">
        <v>8341</v>
      </c>
      <c r="AW31" s="88">
        <v>11956</v>
      </c>
      <c r="AX31" s="88">
        <v>7068</v>
      </c>
      <c r="AY31" s="88">
        <v>1790</v>
      </c>
      <c r="AZ31" s="88">
        <v>-3280</v>
      </c>
      <c r="BA31" s="89">
        <v>-7420</v>
      </c>
      <c r="BB31" s="30">
        <v>6020</v>
      </c>
      <c r="BC31" s="31">
        <v>2175</v>
      </c>
      <c r="BD31" s="31">
        <v>3660</v>
      </c>
      <c r="BE31" s="67">
        <v>6146</v>
      </c>
      <c r="BF31" s="67">
        <v>5465</v>
      </c>
      <c r="BG31" s="67">
        <v>12151</v>
      </c>
      <c r="BH31" s="88">
        <v>10430</v>
      </c>
      <c r="BI31" s="88">
        <v>9233</v>
      </c>
      <c r="BJ31" s="88">
        <v>9842</v>
      </c>
      <c r="BK31" s="89">
        <v>10403</v>
      </c>
      <c r="BL31" s="87">
        <v>4405</v>
      </c>
      <c r="BM31" s="88">
        <v>6740</v>
      </c>
      <c r="BN31" s="88">
        <v>6106</v>
      </c>
      <c r="BO31" s="5">
        <f>'Annual Change'!BO31-'Natural Change'!BO31</f>
        <v>3866</v>
      </c>
      <c r="BP31" s="5">
        <f>'Annual Change'!BP31-'Natural Change'!BP31</f>
        <v>4770</v>
      </c>
      <c r="BQ31" s="89">
        <f>'Annual Change'!BQ31-'Natural Change'!BQ31</f>
        <v>4612</v>
      </c>
    </row>
    <row r="32" spans="1:69" x14ac:dyDescent="0.2">
      <c r="A32" s="20" t="s">
        <v>55</v>
      </c>
      <c r="B32" s="21" t="s">
        <v>56</v>
      </c>
      <c r="C32" s="25" t="s">
        <v>2</v>
      </c>
      <c r="D32" s="87">
        <v>43</v>
      </c>
      <c r="E32" s="88">
        <v>11</v>
      </c>
      <c r="F32" s="88">
        <v>103</v>
      </c>
      <c r="G32" s="88">
        <v>9</v>
      </c>
      <c r="H32" s="88">
        <v>120</v>
      </c>
      <c r="I32" s="88">
        <v>6</v>
      </c>
      <c r="J32" s="88">
        <v>308</v>
      </c>
      <c r="K32" s="88">
        <v>215</v>
      </c>
      <c r="L32" s="88">
        <v>11</v>
      </c>
      <c r="M32" s="89">
        <v>268</v>
      </c>
      <c r="N32" s="87">
        <v>265</v>
      </c>
      <c r="O32" s="88">
        <v>506</v>
      </c>
      <c r="P32" s="88">
        <v>409</v>
      </c>
      <c r="Q32" s="88">
        <v>410</v>
      </c>
      <c r="R32" s="88">
        <v>6</v>
      </c>
      <c r="S32" s="88">
        <v>298</v>
      </c>
      <c r="T32" s="88">
        <v>405</v>
      </c>
      <c r="U32" s="88">
        <v>572</v>
      </c>
      <c r="V32" s="88">
        <v>564</v>
      </c>
      <c r="W32" s="89">
        <v>527</v>
      </c>
      <c r="X32" s="87">
        <v>228</v>
      </c>
      <c r="Y32" s="88">
        <v>224</v>
      </c>
      <c r="Z32" s="88">
        <v>170</v>
      </c>
      <c r="AA32" s="88">
        <v>215</v>
      </c>
      <c r="AB32" s="88">
        <v>113</v>
      </c>
      <c r="AC32" s="88">
        <v>193</v>
      </c>
      <c r="AD32" s="88">
        <v>61</v>
      </c>
      <c r="AE32" s="88">
        <v>186</v>
      </c>
      <c r="AF32" s="88">
        <v>163</v>
      </c>
      <c r="AG32" s="89">
        <v>368</v>
      </c>
      <c r="AH32" s="87">
        <v>729</v>
      </c>
      <c r="AI32" s="88">
        <v>584</v>
      </c>
      <c r="AJ32" s="88">
        <v>656</v>
      </c>
      <c r="AK32" s="88">
        <v>368</v>
      </c>
      <c r="AL32" s="88">
        <v>321</v>
      </c>
      <c r="AM32" s="88">
        <v>79</v>
      </c>
      <c r="AN32" s="88">
        <v>110</v>
      </c>
      <c r="AO32" s="88">
        <v>83</v>
      </c>
      <c r="AP32" s="88">
        <v>455</v>
      </c>
      <c r="AQ32" s="89">
        <v>594</v>
      </c>
      <c r="AR32" s="87">
        <v>339</v>
      </c>
      <c r="AS32" s="88">
        <v>282</v>
      </c>
      <c r="AT32" s="88">
        <v>142</v>
      </c>
      <c r="AU32" s="88">
        <v>188</v>
      </c>
      <c r="AV32" s="88">
        <v>250</v>
      </c>
      <c r="AW32" s="88">
        <v>203</v>
      </c>
      <c r="AX32" s="88">
        <v>133</v>
      </c>
      <c r="AY32" s="88">
        <v>165</v>
      </c>
      <c r="AZ32" s="88">
        <v>121</v>
      </c>
      <c r="BA32" s="89">
        <v>78</v>
      </c>
      <c r="BB32" s="30">
        <v>179</v>
      </c>
      <c r="BC32" s="31">
        <v>163</v>
      </c>
      <c r="BD32" s="31">
        <v>265</v>
      </c>
      <c r="BE32" s="67">
        <v>212</v>
      </c>
      <c r="BF32" s="67">
        <v>216</v>
      </c>
      <c r="BG32" s="67">
        <v>278</v>
      </c>
      <c r="BH32" s="88">
        <v>228</v>
      </c>
      <c r="BI32" s="88">
        <v>323</v>
      </c>
      <c r="BJ32" s="88">
        <v>329</v>
      </c>
      <c r="BK32" s="89">
        <v>342</v>
      </c>
      <c r="BL32" s="87">
        <v>113</v>
      </c>
      <c r="BM32" s="88">
        <v>360</v>
      </c>
      <c r="BN32" s="88">
        <v>234</v>
      </c>
      <c r="BO32" s="5">
        <f>'Annual Change'!BO32-'Natural Change'!BO32</f>
        <v>192</v>
      </c>
      <c r="BP32" s="5">
        <f>'Annual Change'!BP32-'Natural Change'!BP32</f>
        <v>162</v>
      </c>
      <c r="BQ32" s="89">
        <f>'Annual Change'!BQ32-'Natural Change'!BQ32</f>
        <v>179</v>
      </c>
    </row>
    <row r="33" spans="1:69" x14ac:dyDescent="0.2">
      <c r="A33" s="20" t="s">
        <v>57</v>
      </c>
      <c r="B33" s="21" t="s">
        <v>58</v>
      </c>
      <c r="C33" s="25" t="s">
        <v>2</v>
      </c>
      <c r="D33" s="87">
        <v>-605</v>
      </c>
      <c r="E33" s="88">
        <v>-144</v>
      </c>
      <c r="F33" s="88">
        <v>-893</v>
      </c>
      <c r="G33" s="88">
        <v>-684</v>
      </c>
      <c r="H33" s="88">
        <v>-196</v>
      </c>
      <c r="I33" s="88">
        <v>62</v>
      </c>
      <c r="J33" s="88">
        <v>550</v>
      </c>
      <c r="K33" s="88">
        <v>405</v>
      </c>
      <c r="L33" s="88">
        <v>-855</v>
      </c>
      <c r="M33" s="89">
        <v>85</v>
      </c>
      <c r="N33" s="87">
        <v>26</v>
      </c>
      <c r="O33" s="88">
        <v>-979</v>
      </c>
      <c r="P33" s="88">
        <v>-8</v>
      </c>
      <c r="Q33" s="88">
        <v>1149</v>
      </c>
      <c r="R33" s="88">
        <v>478</v>
      </c>
      <c r="S33" s="88">
        <v>964</v>
      </c>
      <c r="T33" s="88">
        <v>617</v>
      </c>
      <c r="U33" s="88">
        <v>1558</v>
      </c>
      <c r="V33" s="88">
        <v>1970</v>
      </c>
      <c r="W33" s="89">
        <v>3382</v>
      </c>
      <c r="X33" s="87">
        <v>370</v>
      </c>
      <c r="Y33" s="88">
        <v>1321</v>
      </c>
      <c r="Z33" s="88">
        <v>1121</v>
      </c>
      <c r="AA33" s="88">
        <v>-140</v>
      </c>
      <c r="AB33" s="88">
        <v>394</v>
      </c>
      <c r="AC33" s="88">
        <v>1102</v>
      </c>
      <c r="AD33" s="88">
        <v>87</v>
      </c>
      <c r="AE33" s="88">
        <v>1643</v>
      </c>
      <c r="AF33" s="88">
        <v>1790</v>
      </c>
      <c r="AG33" s="89">
        <v>3488</v>
      </c>
      <c r="AH33" s="87">
        <v>2799</v>
      </c>
      <c r="AI33" s="88">
        <v>1643</v>
      </c>
      <c r="AJ33" s="88">
        <v>2020</v>
      </c>
      <c r="AK33" s="88">
        <v>2131</v>
      </c>
      <c r="AL33" s="88">
        <v>1989</v>
      </c>
      <c r="AM33" s="88">
        <v>1635</v>
      </c>
      <c r="AN33" s="88">
        <v>1752</v>
      </c>
      <c r="AO33" s="88">
        <v>1333</v>
      </c>
      <c r="AP33" s="88">
        <v>1196</v>
      </c>
      <c r="AQ33" s="89">
        <v>2158</v>
      </c>
      <c r="AR33" s="87">
        <v>793</v>
      </c>
      <c r="AS33" s="88">
        <v>1175</v>
      </c>
      <c r="AT33" s="88">
        <v>446</v>
      </c>
      <c r="AU33" s="88">
        <v>1551</v>
      </c>
      <c r="AV33" s="88">
        <v>997</v>
      </c>
      <c r="AW33" s="88">
        <v>1702</v>
      </c>
      <c r="AX33" s="88">
        <v>1243</v>
      </c>
      <c r="AY33" s="88">
        <v>975</v>
      </c>
      <c r="AZ33" s="88">
        <v>765</v>
      </c>
      <c r="BA33" s="89">
        <v>-145</v>
      </c>
      <c r="BB33" s="30">
        <v>335</v>
      </c>
      <c r="BC33" s="31">
        <v>353</v>
      </c>
      <c r="BD33" s="31">
        <v>537</v>
      </c>
      <c r="BE33" s="67">
        <v>611</v>
      </c>
      <c r="BF33" s="67">
        <v>724</v>
      </c>
      <c r="BG33" s="67">
        <v>989</v>
      </c>
      <c r="BH33" s="88">
        <v>1026</v>
      </c>
      <c r="BI33" s="88">
        <v>1997</v>
      </c>
      <c r="BJ33" s="88">
        <v>2033</v>
      </c>
      <c r="BK33" s="89">
        <v>1344</v>
      </c>
      <c r="BL33" s="87">
        <v>502</v>
      </c>
      <c r="BM33" s="88">
        <v>1392</v>
      </c>
      <c r="BN33" s="88">
        <v>810</v>
      </c>
      <c r="BO33" s="5">
        <f>'Annual Change'!BO33-'Natural Change'!BO33</f>
        <v>1418</v>
      </c>
      <c r="BP33" s="5">
        <f>'Annual Change'!BP33-'Natural Change'!BP33</f>
        <v>1413</v>
      </c>
      <c r="BQ33" s="89">
        <f>'Annual Change'!BQ33-'Natural Change'!BQ33</f>
        <v>993</v>
      </c>
    </row>
    <row r="34" spans="1:69" x14ac:dyDescent="0.2">
      <c r="A34" s="20" t="s">
        <v>59</v>
      </c>
      <c r="B34" s="21" t="s">
        <v>60</v>
      </c>
      <c r="C34" s="25" t="s">
        <v>2</v>
      </c>
      <c r="D34" s="87">
        <v>-79</v>
      </c>
      <c r="E34" s="88">
        <v>11</v>
      </c>
      <c r="F34" s="88">
        <v>27</v>
      </c>
      <c r="G34" s="88">
        <v>-38</v>
      </c>
      <c r="H34" s="88">
        <v>43</v>
      </c>
      <c r="I34" s="88">
        <v>-257</v>
      </c>
      <c r="J34" s="88">
        <v>173</v>
      </c>
      <c r="K34" s="88">
        <v>175</v>
      </c>
      <c r="L34" s="88">
        <v>-30</v>
      </c>
      <c r="M34" s="89">
        <v>99</v>
      </c>
      <c r="N34" s="87">
        <v>28</v>
      </c>
      <c r="O34" s="88">
        <v>158</v>
      </c>
      <c r="P34" s="88">
        <v>-66</v>
      </c>
      <c r="Q34" s="88">
        <v>249</v>
      </c>
      <c r="R34" s="88">
        <v>-141</v>
      </c>
      <c r="S34" s="88">
        <v>-139</v>
      </c>
      <c r="T34" s="88">
        <v>527</v>
      </c>
      <c r="U34" s="88">
        <v>47</v>
      </c>
      <c r="V34" s="88">
        <v>422</v>
      </c>
      <c r="W34" s="89">
        <v>427</v>
      </c>
      <c r="X34" s="87">
        <v>-181</v>
      </c>
      <c r="Y34" s="88">
        <v>-49</v>
      </c>
      <c r="Z34" s="88">
        <v>8</v>
      </c>
      <c r="AA34" s="88">
        <v>-77</v>
      </c>
      <c r="AB34" s="88">
        <v>-85</v>
      </c>
      <c r="AC34" s="88">
        <v>-45</v>
      </c>
      <c r="AD34" s="88">
        <v>61</v>
      </c>
      <c r="AE34" s="88">
        <v>-23</v>
      </c>
      <c r="AF34" s="88">
        <v>40</v>
      </c>
      <c r="AG34" s="89">
        <v>31</v>
      </c>
      <c r="AH34" s="87">
        <v>206</v>
      </c>
      <c r="AI34" s="88">
        <v>37</v>
      </c>
      <c r="AJ34" s="88">
        <v>89</v>
      </c>
      <c r="AK34" s="88">
        <v>143</v>
      </c>
      <c r="AL34" s="88">
        <v>127</v>
      </c>
      <c r="AM34" s="88">
        <v>161</v>
      </c>
      <c r="AN34" s="88">
        <v>154</v>
      </c>
      <c r="AO34" s="88">
        <v>134</v>
      </c>
      <c r="AP34" s="88">
        <v>124</v>
      </c>
      <c r="AQ34" s="89">
        <v>82</v>
      </c>
      <c r="AR34" s="87">
        <v>39</v>
      </c>
      <c r="AS34" s="88">
        <v>59</v>
      </c>
      <c r="AT34" s="88">
        <v>26</v>
      </c>
      <c r="AU34" s="88">
        <v>125</v>
      </c>
      <c r="AV34" s="88">
        <v>232</v>
      </c>
      <c r="AW34" s="88">
        <v>236</v>
      </c>
      <c r="AX34" s="88">
        <v>79</v>
      </c>
      <c r="AY34" s="88">
        <v>-4</v>
      </c>
      <c r="AZ34" s="88">
        <v>14</v>
      </c>
      <c r="BA34" s="89">
        <v>56</v>
      </c>
      <c r="BB34" s="30">
        <v>10</v>
      </c>
      <c r="BC34" s="31">
        <v>36</v>
      </c>
      <c r="BD34" s="31">
        <v>-9</v>
      </c>
      <c r="BE34" s="67">
        <v>3</v>
      </c>
      <c r="BF34" s="67">
        <v>15</v>
      </c>
      <c r="BG34" s="67">
        <v>35</v>
      </c>
      <c r="BH34" s="88">
        <v>83</v>
      </c>
      <c r="BI34" s="88">
        <v>67</v>
      </c>
      <c r="BJ34" s="88">
        <v>94</v>
      </c>
      <c r="BK34" s="89">
        <v>102</v>
      </c>
      <c r="BL34" s="87">
        <v>160</v>
      </c>
      <c r="BM34" s="88">
        <v>175</v>
      </c>
      <c r="BN34" s="88">
        <v>114</v>
      </c>
      <c r="BO34" s="5">
        <f>'Annual Change'!BO34-'Natural Change'!BO34</f>
        <v>119</v>
      </c>
      <c r="BP34" s="5">
        <f>'Annual Change'!BP34-'Natural Change'!BP34</f>
        <v>138</v>
      </c>
      <c r="BQ34" s="89">
        <f>'Annual Change'!BQ34-'Natural Change'!BQ34</f>
        <v>5</v>
      </c>
    </row>
    <row r="35" spans="1:69" x14ac:dyDescent="0.2">
      <c r="A35" s="20" t="s">
        <v>61</v>
      </c>
      <c r="B35" s="21" t="s">
        <v>62</v>
      </c>
      <c r="C35" s="25" t="s">
        <v>2</v>
      </c>
      <c r="D35" s="87">
        <v>5062</v>
      </c>
      <c r="E35" s="88">
        <v>5829</v>
      </c>
      <c r="F35" s="88">
        <v>4287</v>
      </c>
      <c r="G35" s="88">
        <v>5180</v>
      </c>
      <c r="H35" s="88">
        <v>7308</v>
      </c>
      <c r="I35" s="88">
        <v>7781</v>
      </c>
      <c r="J35" s="88">
        <v>11273</v>
      </c>
      <c r="K35" s="88">
        <v>11048</v>
      </c>
      <c r="L35" s="88">
        <v>15336</v>
      </c>
      <c r="M35" s="89">
        <v>-4939</v>
      </c>
      <c r="N35" s="87">
        <v>-6354</v>
      </c>
      <c r="O35" s="88">
        <v>-1330</v>
      </c>
      <c r="P35" s="88">
        <v>-1345</v>
      </c>
      <c r="Q35" s="88">
        <v>1912</v>
      </c>
      <c r="R35" s="88">
        <v>519</v>
      </c>
      <c r="S35" s="88">
        <v>3385</v>
      </c>
      <c r="T35" s="88">
        <v>4844</v>
      </c>
      <c r="U35" s="88">
        <v>12996</v>
      </c>
      <c r="V35" s="88">
        <v>18353</v>
      </c>
      <c r="W35" s="89">
        <v>15769</v>
      </c>
      <c r="X35" s="87">
        <v>8284</v>
      </c>
      <c r="Y35" s="88">
        <v>4273</v>
      </c>
      <c r="Z35" s="88">
        <v>2006</v>
      </c>
      <c r="AA35" s="88">
        <v>3301</v>
      </c>
      <c r="AB35" s="88">
        <v>6682</v>
      </c>
      <c r="AC35" s="88">
        <v>7999</v>
      </c>
      <c r="AD35" s="88">
        <v>8923</v>
      </c>
      <c r="AE35" s="88">
        <v>12069</v>
      </c>
      <c r="AF35" s="88">
        <v>17414</v>
      </c>
      <c r="AG35" s="89">
        <v>15920</v>
      </c>
      <c r="AH35" s="87">
        <v>17119</v>
      </c>
      <c r="AI35" s="88">
        <v>2989</v>
      </c>
      <c r="AJ35" s="88">
        <v>5873</v>
      </c>
      <c r="AK35" s="88">
        <v>7866</v>
      </c>
      <c r="AL35" s="88">
        <v>7184</v>
      </c>
      <c r="AM35" s="88">
        <v>6578</v>
      </c>
      <c r="AN35" s="88">
        <v>7415</v>
      </c>
      <c r="AO35" s="88">
        <v>11569</v>
      </c>
      <c r="AP35" s="88">
        <v>13632</v>
      </c>
      <c r="AQ35" s="89">
        <v>12101</v>
      </c>
      <c r="AR35" s="87">
        <v>7031</v>
      </c>
      <c r="AS35" s="88">
        <v>6874</v>
      </c>
      <c r="AT35" s="88">
        <v>6228</v>
      </c>
      <c r="AU35" s="88">
        <v>4374</v>
      </c>
      <c r="AV35" s="88">
        <v>8115</v>
      </c>
      <c r="AW35" s="88">
        <v>10099</v>
      </c>
      <c r="AX35" s="88">
        <v>8101</v>
      </c>
      <c r="AY35" s="88">
        <v>4724</v>
      </c>
      <c r="AZ35" s="88">
        <v>1330</v>
      </c>
      <c r="BA35" s="89">
        <v>2635</v>
      </c>
      <c r="BB35" s="30">
        <v>1075</v>
      </c>
      <c r="BC35" s="31">
        <v>2372</v>
      </c>
      <c r="BD35" s="31">
        <v>5342</v>
      </c>
      <c r="BE35" s="67">
        <v>6351</v>
      </c>
      <c r="BF35" s="67">
        <v>9595</v>
      </c>
      <c r="BG35" s="67">
        <v>8850</v>
      </c>
      <c r="BH35" s="88">
        <v>8801</v>
      </c>
      <c r="BI35" s="88">
        <v>9814</v>
      </c>
      <c r="BJ35" s="88">
        <v>8897</v>
      </c>
      <c r="BK35" s="89">
        <v>9753</v>
      </c>
      <c r="BL35" s="87">
        <v>6833</v>
      </c>
      <c r="BM35" s="88">
        <v>6156</v>
      </c>
      <c r="BN35" s="88">
        <v>9243</v>
      </c>
      <c r="BO35" s="5">
        <f>'Annual Change'!BO35-'Natural Change'!BO35</f>
        <v>3661</v>
      </c>
      <c r="BP35" s="5">
        <f>'Annual Change'!BP35-'Natural Change'!BP35</f>
        <v>3191</v>
      </c>
      <c r="BQ35" s="89">
        <f>'Annual Change'!BQ35-'Natural Change'!BQ35</f>
        <v>2667</v>
      </c>
    </row>
    <row r="36" spans="1:69" x14ac:dyDescent="0.2">
      <c r="A36" s="20" t="s">
        <v>63</v>
      </c>
      <c r="B36" s="21" t="s">
        <v>64</v>
      </c>
      <c r="C36" s="25" t="s">
        <v>2</v>
      </c>
      <c r="D36" s="87">
        <v>-3672</v>
      </c>
      <c r="E36" s="88">
        <v>-2218</v>
      </c>
      <c r="F36" s="88">
        <v>-4366</v>
      </c>
      <c r="G36" s="88">
        <v>-3259</v>
      </c>
      <c r="H36" s="88">
        <v>-2855</v>
      </c>
      <c r="I36" s="88">
        <v>-2269</v>
      </c>
      <c r="J36" s="88">
        <v>-4036</v>
      </c>
      <c r="K36" s="88">
        <v>683</v>
      </c>
      <c r="L36" s="88">
        <v>2100</v>
      </c>
      <c r="M36" s="89">
        <v>5460</v>
      </c>
      <c r="N36" s="87">
        <v>2063</v>
      </c>
      <c r="O36" s="88">
        <v>2996</v>
      </c>
      <c r="P36" s="88">
        <v>1035</v>
      </c>
      <c r="Q36" s="88">
        <v>2762</v>
      </c>
      <c r="R36" s="88">
        <v>-1481</v>
      </c>
      <c r="S36" s="88">
        <v>4883</v>
      </c>
      <c r="T36" s="88">
        <v>5885</v>
      </c>
      <c r="U36" s="88">
        <v>2364</v>
      </c>
      <c r="V36" s="88">
        <v>8048</v>
      </c>
      <c r="W36" s="89">
        <v>4957</v>
      </c>
      <c r="X36" s="87">
        <v>2284</v>
      </c>
      <c r="Y36" s="88">
        <v>-2959</v>
      </c>
      <c r="Z36" s="88">
        <v>-3385</v>
      </c>
      <c r="AA36" s="88">
        <v>-854</v>
      </c>
      <c r="AB36" s="88">
        <v>1102</v>
      </c>
      <c r="AC36" s="88">
        <v>-3625</v>
      </c>
      <c r="AD36" s="88">
        <v>-3885</v>
      </c>
      <c r="AE36" s="88">
        <v>-1461</v>
      </c>
      <c r="AF36" s="88">
        <v>999</v>
      </c>
      <c r="AG36" s="89">
        <v>6161</v>
      </c>
      <c r="AH36" s="87">
        <v>1980</v>
      </c>
      <c r="AI36" s="88">
        <v>2570</v>
      </c>
      <c r="AJ36" s="88">
        <v>3566</v>
      </c>
      <c r="AK36" s="88">
        <v>4762</v>
      </c>
      <c r="AL36" s="88">
        <v>5071</v>
      </c>
      <c r="AM36" s="88">
        <v>4193</v>
      </c>
      <c r="AN36" s="88">
        <v>4322</v>
      </c>
      <c r="AO36" s="88">
        <v>2656</v>
      </c>
      <c r="AP36" s="88">
        <v>2911</v>
      </c>
      <c r="AQ36" s="89">
        <v>2372</v>
      </c>
      <c r="AR36" s="87">
        <v>3223</v>
      </c>
      <c r="AS36" s="88">
        <v>3905</v>
      </c>
      <c r="AT36" s="88">
        <v>-1750</v>
      </c>
      <c r="AU36" s="88">
        <v>1302</v>
      </c>
      <c r="AV36" s="88">
        <v>4590</v>
      </c>
      <c r="AW36" s="88">
        <v>6426</v>
      </c>
      <c r="AX36" s="88">
        <v>4968</v>
      </c>
      <c r="AY36" s="88">
        <v>4070</v>
      </c>
      <c r="AZ36" s="88">
        <v>4102</v>
      </c>
      <c r="BA36" s="89">
        <v>2714</v>
      </c>
      <c r="BB36" s="30">
        <v>1327</v>
      </c>
      <c r="BC36" s="31">
        <v>2202</v>
      </c>
      <c r="BD36" s="31">
        <v>3925</v>
      </c>
      <c r="BE36" s="67">
        <v>3954</v>
      </c>
      <c r="BF36" s="67">
        <v>4406</v>
      </c>
      <c r="BG36" s="67">
        <v>5202</v>
      </c>
      <c r="BH36" s="88">
        <v>7401</v>
      </c>
      <c r="BI36" s="88">
        <v>9534</v>
      </c>
      <c r="BJ36" s="88">
        <v>7796</v>
      </c>
      <c r="BK36" s="89">
        <v>7136</v>
      </c>
      <c r="BL36" s="87">
        <v>2492</v>
      </c>
      <c r="BM36" s="88">
        <v>8651</v>
      </c>
      <c r="BN36" s="88">
        <v>3489</v>
      </c>
      <c r="BO36" s="5">
        <f>'Annual Change'!BO36-'Natural Change'!BO36</f>
        <v>4506</v>
      </c>
      <c r="BP36" s="5">
        <f>'Annual Change'!BP36-'Natural Change'!BP36</f>
        <v>6049</v>
      </c>
      <c r="BQ36" s="89">
        <f>'Annual Change'!BQ36-'Natural Change'!BQ36</f>
        <v>4081</v>
      </c>
    </row>
    <row r="37" spans="1:69" x14ac:dyDescent="0.2">
      <c r="A37" s="20" t="s">
        <v>65</v>
      </c>
      <c r="B37" s="21" t="s">
        <v>66</v>
      </c>
      <c r="C37" s="25" t="s">
        <v>2</v>
      </c>
      <c r="D37" s="87">
        <v>-65</v>
      </c>
      <c r="E37" s="88">
        <v>-143</v>
      </c>
      <c r="F37" s="88">
        <v>-648</v>
      </c>
      <c r="G37" s="88">
        <v>-135</v>
      </c>
      <c r="H37" s="88">
        <v>25</v>
      </c>
      <c r="I37" s="88">
        <v>-72</v>
      </c>
      <c r="J37" s="88">
        <v>193</v>
      </c>
      <c r="K37" s="88">
        <v>-249</v>
      </c>
      <c r="L37" s="88">
        <v>-249</v>
      </c>
      <c r="M37" s="89">
        <v>-91</v>
      </c>
      <c r="N37" s="87">
        <v>99</v>
      </c>
      <c r="O37" s="88">
        <v>722</v>
      </c>
      <c r="P37" s="88">
        <v>713</v>
      </c>
      <c r="Q37" s="88">
        <v>381</v>
      </c>
      <c r="R37" s="88">
        <v>1346</v>
      </c>
      <c r="S37" s="88">
        <v>1536</v>
      </c>
      <c r="T37" s="88">
        <v>1186</v>
      </c>
      <c r="U37" s="88">
        <v>1163</v>
      </c>
      <c r="V37" s="88">
        <v>1441</v>
      </c>
      <c r="W37" s="89">
        <v>1277</v>
      </c>
      <c r="X37" s="87">
        <v>20</v>
      </c>
      <c r="Y37" s="88">
        <v>8</v>
      </c>
      <c r="Z37" s="88">
        <v>36</v>
      </c>
      <c r="AA37" s="88">
        <v>150</v>
      </c>
      <c r="AB37" s="88">
        <v>-18</v>
      </c>
      <c r="AC37" s="88">
        <v>-315</v>
      </c>
      <c r="AD37" s="88">
        <v>-38</v>
      </c>
      <c r="AE37" s="88">
        <v>-245</v>
      </c>
      <c r="AF37" s="88">
        <v>-67</v>
      </c>
      <c r="AG37" s="89">
        <v>-33</v>
      </c>
      <c r="AH37" s="87">
        <v>560</v>
      </c>
      <c r="AI37" s="88">
        <v>572</v>
      </c>
      <c r="AJ37" s="88">
        <v>759</v>
      </c>
      <c r="AK37" s="88">
        <v>819</v>
      </c>
      <c r="AL37" s="88">
        <v>1156</v>
      </c>
      <c r="AM37" s="88">
        <v>824</v>
      </c>
      <c r="AN37" s="88">
        <v>753</v>
      </c>
      <c r="AO37" s="88">
        <v>709</v>
      </c>
      <c r="AP37" s="88">
        <v>745</v>
      </c>
      <c r="AQ37" s="89">
        <v>817</v>
      </c>
      <c r="AR37" s="87">
        <v>206</v>
      </c>
      <c r="AS37" s="88">
        <v>161</v>
      </c>
      <c r="AT37" s="88">
        <v>316</v>
      </c>
      <c r="AU37" s="88">
        <v>274</v>
      </c>
      <c r="AV37" s="88">
        <v>379</v>
      </c>
      <c r="AW37" s="88">
        <v>515</v>
      </c>
      <c r="AX37" s="88">
        <v>308</v>
      </c>
      <c r="AY37" s="88">
        <v>433</v>
      </c>
      <c r="AZ37" s="88">
        <v>225</v>
      </c>
      <c r="BA37" s="89">
        <v>-14</v>
      </c>
      <c r="BB37" s="30">
        <v>238</v>
      </c>
      <c r="BC37" s="31">
        <v>163</v>
      </c>
      <c r="BD37" s="31">
        <v>150</v>
      </c>
      <c r="BE37" s="67">
        <v>320</v>
      </c>
      <c r="BF37" s="67">
        <v>232</v>
      </c>
      <c r="BG37" s="67">
        <v>230</v>
      </c>
      <c r="BH37" s="88">
        <v>283</v>
      </c>
      <c r="BI37" s="88">
        <v>463</v>
      </c>
      <c r="BJ37" s="88">
        <v>570</v>
      </c>
      <c r="BK37" s="89">
        <v>402</v>
      </c>
      <c r="BL37" s="87">
        <v>387</v>
      </c>
      <c r="BM37" s="88">
        <v>550</v>
      </c>
      <c r="BN37" s="88">
        <v>408</v>
      </c>
      <c r="BO37" s="5">
        <f>'Annual Change'!BO37-'Natural Change'!BO37</f>
        <v>407</v>
      </c>
      <c r="BP37" s="5">
        <f>'Annual Change'!BP37-'Natural Change'!BP37</f>
        <v>231</v>
      </c>
      <c r="BQ37" s="89">
        <f>'Annual Change'!BQ37-'Natural Change'!BQ37</f>
        <v>289</v>
      </c>
    </row>
    <row r="38" spans="1:69" x14ac:dyDescent="0.2">
      <c r="A38" s="20" t="s">
        <v>67</v>
      </c>
      <c r="B38" s="21" t="s">
        <v>68</v>
      </c>
      <c r="C38" s="25" t="s">
        <v>2</v>
      </c>
      <c r="D38" s="87">
        <v>908</v>
      </c>
      <c r="E38" s="88">
        <v>1406</v>
      </c>
      <c r="F38" s="88">
        <v>480</v>
      </c>
      <c r="G38" s="88">
        <v>955</v>
      </c>
      <c r="H38" s="88">
        <v>1665</v>
      </c>
      <c r="I38" s="88">
        <v>1682</v>
      </c>
      <c r="J38" s="88">
        <v>2609</v>
      </c>
      <c r="K38" s="88">
        <v>2709</v>
      </c>
      <c r="L38" s="88">
        <v>2958</v>
      </c>
      <c r="M38" s="89">
        <v>-283</v>
      </c>
      <c r="N38" s="87">
        <v>1230</v>
      </c>
      <c r="O38" s="88">
        <v>837</v>
      </c>
      <c r="P38" s="88">
        <v>866</v>
      </c>
      <c r="Q38" s="88">
        <v>4707</v>
      </c>
      <c r="R38" s="88">
        <v>2841</v>
      </c>
      <c r="S38" s="88">
        <v>4692</v>
      </c>
      <c r="T38" s="88">
        <v>4127</v>
      </c>
      <c r="U38" s="88">
        <v>8359</v>
      </c>
      <c r="V38" s="88">
        <v>4703</v>
      </c>
      <c r="W38" s="89">
        <v>7478</v>
      </c>
      <c r="X38" s="87">
        <v>2771</v>
      </c>
      <c r="Y38" s="88">
        <v>1892</v>
      </c>
      <c r="Z38" s="88">
        <v>1436</v>
      </c>
      <c r="AA38" s="88">
        <v>1607</v>
      </c>
      <c r="AB38" s="88">
        <v>1661</v>
      </c>
      <c r="AC38" s="88">
        <v>2427</v>
      </c>
      <c r="AD38" s="88">
        <v>2270</v>
      </c>
      <c r="AE38" s="88">
        <v>2411</v>
      </c>
      <c r="AF38" s="88">
        <v>4772</v>
      </c>
      <c r="AG38" s="89">
        <v>3945</v>
      </c>
      <c r="AH38" s="87">
        <v>5233</v>
      </c>
      <c r="AI38" s="88">
        <v>3487</v>
      </c>
      <c r="AJ38" s="88">
        <v>3424</v>
      </c>
      <c r="AK38" s="88">
        <v>3433</v>
      </c>
      <c r="AL38" s="88">
        <v>3615</v>
      </c>
      <c r="AM38" s="88">
        <v>2976</v>
      </c>
      <c r="AN38" s="88">
        <v>3034</v>
      </c>
      <c r="AO38" s="88">
        <v>2986</v>
      </c>
      <c r="AP38" s="88">
        <v>3824</v>
      </c>
      <c r="AQ38" s="89">
        <v>3189</v>
      </c>
      <c r="AR38" s="87">
        <v>1669</v>
      </c>
      <c r="AS38" s="88">
        <v>3228</v>
      </c>
      <c r="AT38" s="88">
        <v>3258</v>
      </c>
      <c r="AU38" s="88">
        <v>3834</v>
      </c>
      <c r="AV38" s="88">
        <v>5285</v>
      </c>
      <c r="AW38" s="88">
        <v>3899</v>
      </c>
      <c r="AX38" s="88">
        <v>4453</v>
      </c>
      <c r="AY38" s="88">
        <v>4236</v>
      </c>
      <c r="AZ38" s="88">
        <v>3144</v>
      </c>
      <c r="BA38" s="89">
        <v>1650</v>
      </c>
      <c r="BB38" s="30">
        <v>1657</v>
      </c>
      <c r="BC38" s="31">
        <v>2314</v>
      </c>
      <c r="BD38" s="31">
        <v>3082</v>
      </c>
      <c r="BE38" s="67">
        <v>3788</v>
      </c>
      <c r="BF38" s="67">
        <v>2750</v>
      </c>
      <c r="BG38" s="67">
        <v>3712</v>
      </c>
      <c r="BH38" s="88">
        <v>3427</v>
      </c>
      <c r="BI38" s="88">
        <v>4679</v>
      </c>
      <c r="BJ38" s="88">
        <v>3084</v>
      </c>
      <c r="BK38" s="89">
        <v>4579</v>
      </c>
      <c r="BL38" s="87">
        <v>2508</v>
      </c>
      <c r="BM38" s="88">
        <v>2725</v>
      </c>
      <c r="BN38" s="88">
        <v>2953</v>
      </c>
      <c r="BO38" s="5">
        <f>'Annual Change'!BO38-'Natural Change'!BO38</f>
        <v>3404</v>
      </c>
      <c r="BP38" s="5">
        <f>'Annual Change'!BP38-'Natural Change'!BP38</f>
        <v>1898</v>
      </c>
      <c r="BQ38" s="89">
        <f>'Annual Change'!BQ38-'Natural Change'!BQ38</f>
        <v>3247</v>
      </c>
    </row>
    <row r="39" spans="1:69" x14ac:dyDescent="0.2">
      <c r="A39" s="20" t="s">
        <v>69</v>
      </c>
      <c r="B39" s="21" t="s">
        <v>70</v>
      </c>
      <c r="C39" s="25" t="s">
        <v>2</v>
      </c>
      <c r="D39" s="87">
        <v>48</v>
      </c>
      <c r="E39" s="88">
        <v>-36</v>
      </c>
      <c r="F39" s="88">
        <v>-206</v>
      </c>
      <c r="G39" s="88">
        <v>-2</v>
      </c>
      <c r="H39" s="88">
        <v>71</v>
      </c>
      <c r="I39" s="88">
        <v>-31</v>
      </c>
      <c r="J39" s="88">
        <v>208</v>
      </c>
      <c r="K39" s="88">
        <v>-308</v>
      </c>
      <c r="L39" s="88">
        <v>89</v>
      </c>
      <c r="M39" s="89">
        <v>184</v>
      </c>
      <c r="N39" s="87">
        <v>-4</v>
      </c>
      <c r="O39" s="88">
        <v>77</v>
      </c>
      <c r="P39" s="88">
        <v>-106</v>
      </c>
      <c r="Q39" s="88">
        <v>-20</v>
      </c>
      <c r="R39" s="88">
        <v>92</v>
      </c>
      <c r="S39" s="88">
        <v>-59</v>
      </c>
      <c r="T39" s="88">
        <v>9</v>
      </c>
      <c r="U39" s="88">
        <v>76</v>
      </c>
      <c r="V39" s="88">
        <v>-22</v>
      </c>
      <c r="W39" s="89">
        <v>12</v>
      </c>
      <c r="X39" s="87">
        <v>-91</v>
      </c>
      <c r="Y39" s="88">
        <v>7</v>
      </c>
      <c r="Z39" s="88">
        <v>-66</v>
      </c>
      <c r="AA39" s="88">
        <v>-26</v>
      </c>
      <c r="AB39" s="88">
        <v>-168</v>
      </c>
      <c r="AC39" s="88">
        <v>-82</v>
      </c>
      <c r="AD39" s="88">
        <v>-8</v>
      </c>
      <c r="AE39" s="88">
        <v>-54</v>
      </c>
      <c r="AF39" s="88">
        <v>0</v>
      </c>
      <c r="AG39" s="89">
        <v>-30</v>
      </c>
      <c r="AH39" s="87">
        <v>26</v>
      </c>
      <c r="AI39" s="88">
        <v>21</v>
      </c>
      <c r="AJ39" s="88">
        <v>77</v>
      </c>
      <c r="AK39" s="88">
        <v>70</v>
      </c>
      <c r="AL39" s="88">
        <v>55</v>
      </c>
      <c r="AM39" s="88">
        <v>83</v>
      </c>
      <c r="AN39" s="88">
        <v>43</v>
      </c>
      <c r="AO39" s="88">
        <v>48</v>
      </c>
      <c r="AP39" s="88">
        <v>83</v>
      </c>
      <c r="AQ39" s="89">
        <v>72</v>
      </c>
      <c r="AR39" s="87">
        <v>26</v>
      </c>
      <c r="AS39" s="88">
        <v>12</v>
      </c>
      <c r="AT39" s="88">
        <v>46</v>
      </c>
      <c r="AU39" s="88">
        <v>19</v>
      </c>
      <c r="AV39" s="88">
        <v>52</v>
      </c>
      <c r="AW39" s="88">
        <v>55</v>
      </c>
      <c r="AX39" s="88">
        <v>68</v>
      </c>
      <c r="AY39" s="88">
        <v>66</v>
      </c>
      <c r="AZ39" s="88">
        <v>24</v>
      </c>
      <c r="BA39" s="89">
        <v>-13</v>
      </c>
      <c r="BB39" s="30">
        <v>54</v>
      </c>
      <c r="BC39" s="31">
        <v>57</v>
      </c>
      <c r="BD39" s="31">
        <v>16</v>
      </c>
      <c r="BE39" s="67">
        <v>66</v>
      </c>
      <c r="BF39" s="67">
        <v>60</v>
      </c>
      <c r="BG39" s="67">
        <v>68</v>
      </c>
      <c r="BH39" s="88">
        <v>71</v>
      </c>
      <c r="BI39" s="88">
        <v>78</v>
      </c>
      <c r="BJ39" s="88">
        <v>111</v>
      </c>
      <c r="BK39" s="89">
        <v>88</v>
      </c>
      <c r="BL39" s="87">
        <v>77</v>
      </c>
      <c r="BM39" s="88">
        <v>80</v>
      </c>
      <c r="BN39" s="88">
        <v>64</v>
      </c>
      <c r="BO39" s="5">
        <f>'Annual Change'!BO39-'Natural Change'!BO39</f>
        <v>40</v>
      </c>
      <c r="BP39" s="5">
        <f>'Annual Change'!BP39-'Natural Change'!BP39</f>
        <v>45</v>
      </c>
      <c r="BQ39" s="89">
        <f>'Annual Change'!BQ39-'Natural Change'!BQ39</f>
        <v>69</v>
      </c>
    </row>
    <row r="40" spans="1:69" x14ac:dyDescent="0.2">
      <c r="A40" s="20" t="s">
        <v>71</v>
      </c>
      <c r="B40" s="21" t="s">
        <v>72</v>
      </c>
      <c r="C40" s="25" t="s">
        <v>2</v>
      </c>
      <c r="D40" s="87">
        <v>-576</v>
      </c>
      <c r="E40" s="88">
        <v>-129</v>
      </c>
      <c r="F40" s="88">
        <v>-972</v>
      </c>
      <c r="G40" s="88">
        <v>-373</v>
      </c>
      <c r="H40" s="88">
        <v>-348</v>
      </c>
      <c r="I40" s="88">
        <v>-338</v>
      </c>
      <c r="J40" s="88">
        <v>621</v>
      </c>
      <c r="K40" s="88">
        <v>-842</v>
      </c>
      <c r="L40" s="88">
        <v>-451</v>
      </c>
      <c r="M40" s="89">
        <v>1012</v>
      </c>
      <c r="N40" s="87">
        <v>282</v>
      </c>
      <c r="O40" s="88">
        <v>-565</v>
      </c>
      <c r="P40" s="88">
        <v>469</v>
      </c>
      <c r="Q40" s="88">
        <v>190</v>
      </c>
      <c r="R40" s="88">
        <v>678</v>
      </c>
      <c r="S40" s="88">
        <v>242</v>
      </c>
      <c r="T40" s="88">
        <v>463</v>
      </c>
      <c r="U40" s="88">
        <v>377</v>
      </c>
      <c r="V40" s="88">
        <v>992</v>
      </c>
      <c r="W40" s="89">
        <v>1096</v>
      </c>
      <c r="X40" s="87">
        <v>-538</v>
      </c>
      <c r="Y40" s="88">
        <v>269</v>
      </c>
      <c r="Z40" s="88">
        <v>247</v>
      </c>
      <c r="AA40" s="88">
        <v>-142</v>
      </c>
      <c r="AB40" s="88">
        <v>-189</v>
      </c>
      <c r="AC40" s="88">
        <v>-290</v>
      </c>
      <c r="AD40" s="88">
        <v>-154</v>
      </c>
      <c r="AE40" s="88">
        <v>-200</v>
      </c>
      <c r="AF40" s="88">
        <v>51</v>
      </c>
      <c r="AG40" s="89">
        <v>-8</v>
      </c>
      <c r="AH40" s="87">
        <v>176</v>
      </c>
      <c r="AI40" s="88">
        <v>270</v>
      </c>
      <c r="AJ40" s="88">
        <v>491</v>
      </c>
      <c r="AK40" s="88">
        <v>504</v>
      </c>
      <c r="AL40" s="88">
        <v>496</v>
      </c>
      <c r="AM40" s="88">
        <v>456</v>
      </c>
      <c r="AN40" s="88">
        <v>638</v>
      </c>
      <c r="AO40" s="88">
        <v>750</v>
      </c>
      <c r="AP40" s="88">
        <v>346</v>
      </c>
      <c r="AQ40" s="89">
        <v>548</v>
      </c>
      <c r="AR40" s="87">
        <v>-234</v>
      </c>
      <c r="AS40" s="88">
        <v>-59</v>
      </c>
      <c r="AT40" s="88">
        <v>187</v>
      </c>
      <c r="AU40" s="88">
        <v>404</v>
      </c>
      <c r="AV40" s="88">
        <v>649</v>
      </c>
      <c r="AW40" s="88">
        <v>57</v>
      </c>
      <c r="AX40" s="88">
        <v>410</v>
      </c>
      <c r="AY40" s="88">
        <v>174</v>
      </c>
      <c r="AZ40" s="88">
        <v>327</v>
      </c>
      <c r="BA40" s="89">
        <v>155</v>
      </c>
      <c r="BB40" s="30">
        <v>-83</v>
      </c>
      <c r="BC40" s="31">
        <v>283</v>
      </c>
      <c r="BD40" s="31">
        <v>213</v>
      </c>
      <c r="BE40" s="67">
        <v>688</v>
      </c>
      <c r="BF40" s="67">
        <v>482</v>
      </c>
      <c r="BG40" s="67">
        <v>-33</v>
      </c>
      <c r="BH40" s="88">
        <v>324</v>
      </c>
      <c r="BI40" s="88">
        <v>237</v>
      </c>
      <c r="BJ40" s="88">
        <v>401</v>
      </c>
      <c r="BK40" s="89">
        <v>433</v>
      </c>
      <c r="BL40" s="87">
        <v>-394</v>
      </c>
      <c r="BM40" s="88">
        <v>679</v>
      </c>
      <c r="BN40" s="88">
        <v>666</v>
      </c>
      <c r="BO40" s="5">
        <f>'Annual Change'!BO40-'Natural Change'!BO40</f>
        <v>401</v>
      </c>
      <c r="BP40" s="5">
        <f>'Annual Change'!BP40-'Natural Change'!BP40</f>
        <v>546</v>
      </c>
      <c r="BQ40" s="89">
        <f>'Annual Change'!BQ40-'Natural Change'!BQ40</f>
        <v>393</v>
      </c>
    </row>
    <row r="41" spans="1:69" x14ac:dyDescent="0.2">
      <c r="A41" s="20" t="s">
        <v>73</v>
      </c>
      <c r="B41" s="21" t="s">
        <v>74</v>
      </c>
      <c r="C41" s="25" t="s">
        <v>2</v>
      </c>
      <c r="D41" s="87">
        <v>394</v>
      </c>
      <c r="E41" s="88">
        <v>615</v>
      </c>
      <c r="F41" s="88">
        <v>-221</v>
      </c>
      <c r="G41" s="88">
        <v>381</v>
      </c>
      <c r="H41" s="88">
        <v>1094</v>
      </c>
      <c r="I41" s="88">
        <v>1264</v>
      </c>
      <c r="J41" s="88">
        <v>2247</v>
      </c>
      <c r="K41" s="88">
        <v>1781</v>
      </c>
      <c r="L41" s="88">
        <v>399</v>
      </c>
      <c r="M41" s="89">
        <v>-534</v>
      </c>
      <c r="N41" s="87">
        <v>2453</v>
      </c>
      <c r="O41" s="88">
        <v>1785</v>
      </c>
      <c r="P41" s="88">
        <v>79</v>
      </c>
      <c r="Q41" s="88">
        <v>1564</v>
      </c>
      <c r="R41" s="88">
        <v>1562</v>
      </c>
      <c r="S41" s="88">
        <v>2437</v>
      </c>
      <c r="T41" s="88">
        <v>1772</v>
      </c>
      <c r="U41" s="88">
        <v>2864</v>
      </c>
      <c r="V41" s="88">
        <v>2116</v>
      </c>
      <c r="W41" s="89">
        <v>2508</v>
      </c>
      <c r="X41" s="87">
        <v>1789</v>
      </c>
      <c r="Y41" s="88">
        <v>714</v>
      </c>
      <c r="Z41" s="88">
        <v>258</v>
      </c>
      <c r="AA41" s="88">
        <v>822</v>
      </c>
      <c r="AB41" s="88">
        <v>978</v>
      </c>
      <c r="AC41" s="88">
        <v>8</v>
      </c>
      <c r="AD41" s="88">
        <v>730</v>
      </c>
      <c r="AE41" s="88">
        <v>1557</v>
      </c>
      <c r="AF41" s="88">
        <v>2977</v>
      </c>
      <c r="AG41" s="89">
        <v>3305</v>
      </c>
      <c r="AH41" s="87">
        <v>4062</v>
      </c>
      <c r="AI41" s="88">
        <v>4209</v>
      </c>
      <c r="AJ41" s="88">
        <v>2593</v>
      </c>
      <c r="AK41" s="88">
        <v>3907</v>
      </c>
      <c r="AL41" s="88">
        <v>3048</v>
      </c>
      <c r="AM41" s="88">
        <v>3457</v>
      </c>
      <c r="AN41" s="88">
        <v>2201</v>
      </c>
      <c r="AO41" s="88">
        <v>2704</v>
      </c>
      <c r="AP41" s="88">
        <v>2253</v>
      </c>
      <c r="AQ41" s="89">
        <v>2243</v>
      </c>
      <c r="AR41" s="87">
        <v>3348</v>
      </c>
      <c r="AS41" s="88">
        <v>2509</v>
      </c>
      <c r="AT41" s="88">
        <v>1056</v>
      </c>
      <c r="AU41" s="88">
        <v>3489</v>
      </c>
      <c r="AV41" s="88">
        <v>4072</v>
      </c>
      <c r="AW41" s="88">
        <v>4241</v>
      </c>
      <c r="AX41" s="88">
        <v>4342</v>
      </c>
      <c r="AY41" s="88">
        <v>1594</v>
      </c>
      <c r="AZ41" s="88">
        <v>1233</v>
      </c>
      <c r="BA41" s="89">
        <v>566</v>
      </c>
      <c r="BB41" s="30">
        <v>296</v>
      </c>
      <c r="BC41" s="31">
        <v>520</v>
      </c>
      <c r="BD41" s="31">
        <v>1689</v>
      </c>
      <c r="BE41" s="67">
        <v>1232</v>
      </c>
      <c r="BF41" s="67">
        <v>1380</v>
      </c>
      <c r="BG41" s="67">
        <v>1855</v>
      </c>
      <c r="BH41" s="88">
        <v>2920</v>
      </c>
      <c r="BI41" s="88">
        <v>3363</v>
      </c>
      <c r="BJ41" s="88">
        <v>3526</v>
      </c>
      <c r="BK41" s="89">
        <v>2781</v>
      </c>
      <c r="BL41" s="87">
        <v>-621</v>
      </c>
      <c r="BM41" s="88">
        <v>5451</v>
      </c>
      <c r="BN41" s="88">
        <v>4320</v>
      </c>
      <c r="BO41" s="5">
        <f>'Annual Change'!BO41-'Natural Change'!BO41</f>
        <v>2204</v>
      </c>
      <c r="BP41" s="5">
        <f>'Annual Change'!BP41-'Natural Change'!BP41</f>
        <v>2631</v>
      </c>
      <c r="BQ41" s="89">
        <f>'Annual Change'!BQ41-'Natural Change'!BQ41</f>
        <v>1817</v>
      </c>
    </row>
    <row r="42" spans="1:69" x14ac:dyDescent="0.2">
      <c r="A42" s="20" t="s">
        <v>75</v>
      </c>
      <c r="B42" s="21" t="s">
        <v>76</v>
      </c>
      <c r="C42" s="25" t="s">
        <v>2</v>
      </c>
      <c r="D42" s="87">
        <v>177</v>
      </c>
      <c r="E42" s="88">
        <v>60</v>
      </c>
      <c r="F42" s="88">
        <v>207</v>
      </c>
      <c r="G42" s="88">
        <v>36</v>
      </c>
      <c r="H42" s="88">
        <v>292</v>
      </c>
      <c r="I42" s="88">
        <v>468</v>
      </c>
      <c r="J42" s="88">
        <v>835</v>
      </c>
      <c r="K42" s="88">
        <v>1245</v>
      </c>
      <c r="L42" s="88">
        <v>-609</v>
      </c>
      <c r="M42" s="89">
        <v>563</v>
      </c>
      <c r="N42" s="87">
        <v>-111</v>
      </c>
      <c r="O42" s="88">
        <v>-152</v>
      </c>
      <c r="P42" s="88">
        <v>-134</v>
      </c>
      <c r="Q42" s="88">
        <v>87</v>
      </c>
      <c r="R42" s="88">
        <v>111</v>
      </c>
      <c r="S42" s="88">
        <v>-10</v>
      </c>
      <c r="T42" s="88">
        <v>-95</v>
      </c>
      <c r="U42" s="88">
        <v>40</v>
      </c>
      <c r="V42" s="88">
        <v>-11</v>
      </c>
      <c r="W42" s="89">
        <v>54</v>
      </c>
      <c r="X42" s="87">
        <v>443</v>
      </c>
      <c r="Y42" s="88">
        <v>-1072</v>
      </c>
      <c r="Z42" s="88">
        <v>-467</v>
      </c>
      <c r="AA42" s="88">
        <v>-909</v>
      </c>
      <c r="AB42" s="88">
        <v>64</v>
      </c>
      <c r="AC42" s="88">
        <v>-930</v>
      </c>
      <c r="AD42" s="88">
        <v>-677</v>
      </c>
      <c r="AE42" s="88">
        <v>-451</v>
      </c>
      <c r="AF42" s="88">
        <v>56</v>
      </c>
      <c r="AG42" s="89">
        <v>341</v>
      </c>
      <c r="AH42" s="87">
        <v>-431</v>
      </c>
      <c r="AI42" s="88">
        <v>-30</v>
      </c>
      <c r="AJ42" s="88">
        <v>-45</v>
      </c>
      <c r="AK42" s="88">
        <v>-45</v>
      </c>
      <c r="AL42" s="88">
        <v>223</v>
      </c>
      <c r="AM42" s="88">
        <v>-94</v>
      </c>
      <c r="AN42" s="88">
        <v>393</v>
      </c>
      <c r="AO42" s="88">
        <v>270</v>
      </c>
      <c r="AP42" s="88">
        <v>43</v>
      </c>
      <c r="AQ42" s="89">
        <v>-309</v>
      </c>
      <c r="AR42" s="87">
        <v>-352</v>
      </c>
      <c r="AS42" s="88">
        <v>307</v>
      </c>
      <c r="AT42" s="88">
        <v>-270</v>
      </c>
      <c r="AU42" s="88">
        <v>559</v>
      </c>
      <c r="AV42" s="88">
        <v>625</v>
      </c>
      <c r="AW42" s="88">
        <v>156</v>
      </c>
      <c r="AX42" s="88">
        <v>-255</v>
      </c>
      <c r="AY42" s="88">
        <v>1038</v>
      </c>
      <c r="AZ42" s="88">
        <v>-252</v>
      </c>
      <c r="BA42" s="89">
        <v>574</v>
      </c>
      <c r="BB42" s="30">
        <v>-484</v>
      </c>
      <c r="BC42" s="31">
        <v>757</v>
      </c>
      <c r="BD42" s="31">
        <v>-163</v>
      </c>
      <c r="BE42" s="67">
        <v>131</v>
      </c>
      <c r="BF42" s="67">
        <v>405</v>
      </c>
      <c r="BG42" s="67">
        <v>105</v>
      </c>
      <c r="BH42" s="88">
        <v>168</v>
      </c>
      <c r="BI42" s="88">
        <v>146</v>
      </c>
      <c r="BJ42" s="88">
        <v>557</v>
      </c>
      <c r="BK42" s="89">
        <v>3</v>
      </c>
      <c r="BL42" s="87">
        <v>-3399</v>
      </c>
      <c r="BM42" s="88">
        <v>3187</v>
      </c>
      <c r="BN42" s="88">
        <v>199</v>
      </c>
      <c r="BO42" s="5">
        <f>'Annual Change'!BO42-'Natural Change'!BO42</f>
        <v>597</v>
      </c>
      <c r="BP42" s="5">
        <f>'Annual Change'!BP42-'Natural Change'!BP42</f>
        <v>630</v>
      </c>
      <c r="BQ42" s="89">
        <f>'Annual Change'!BQ42-'Natural Change'!BQ42</f>
        <v>-520</v>
      </c>
    </row>
    <row r="43" spans="1:69" x14ac:dyDescent="0.2">
      <c r="A43" s="20" t="s">
        <v>77</v>
      </c>
      <c r="B43" s="21" t="s">
        <v>78</v>
      </c>
      <c r="C43" s="25" t="s">
        <v>2</v>
      </c>
      <c r="D43" s="87">
        <v>-1899</v>
      </c>
      <c r="E43" s="88">
        <v>-2025</v>
      </c>
      <c r="F43" s="88">
        <v>-3018</v>
      </c>
      <c r="G43" s="88">
        <v>-2222</v>
      </c>
      <c r="H43" s="88">
        <v>-1434</v>
      </c>
      <c r="I43" s="88">
        <v>-1251</v>
      </c>
      <c r="J43" s="88">
        <v>81</v>
      </c>
      <c r="K43" s="88">
        <v>-177</v>
      </c>
      <c r="L43" s="88">
        <v>-2931</v>
      </c>
      <c r="M43" s="89">
        <v>400</v>
      </c>
      <c r="N43" s="87">
        <v>732</v>
      </c>
      <c r="O43" s="88">
        <v>-1092</v>
      </c>
      <c r="P43" s="88">
        <v>-2</v>
      </c>
      <c r="Q43" s="88">
        <v>2869</v>
      </c>
      <c r="R43" s="88">
        <v>2456</v>
      </c>
      <c r="S43" s="88">
        <v>1182</v>
      </c>
      <c r="T43" s="88">
        <v>1799</v>
      </c>
      <c r="U43" s="88">
        <v>2335</v>
      </c>
      <c r="V43" s="88">
        <v>1448</v>
      </c>
      <c r="W43" s="89">
        <v>2545</v>
      </c>
      <c r="X43" s="87">
        <v>30</v>
      </c>
      <c r="Y43" s="88">
        <v>-88</v>
      </c>
      <c r="Z43" s="88">
        <v>407</v>
      </c>
      <c r="AA43" s="88">
        <v>-51</v>
      </c>
      <c r="AB43" s="88">
        <v>-338</v>
      </c>
      <c r="AC43" s="88">
        <v>-1165</v>
      </c>
      <c r="AD43" s="88">
        <v>-559</v>
      </c>
      <c r="AE43" s="88">
        <v>-410</v>
      </c>
      <c r="AF43" s="88">
        <v>-511</v>
      </c>
      <c r="AG43" s="89">
        <v>536</v>
      </c>
      <c r="AH43" s="87">
        <v>159</v>
      </c>
      <c r="AI43" s="88">
        <v>735</v>
      </c>
      <c r="AJ43" s="88">
        <v>651</v>
      </c>
      <c r="AK43" s="88">
        <v>1161</v>
      </c>
      <c r="AL43" s="88">
        <v>1443</v>
      </c>
      <c r="AM43" s="88">
        <v>865</v>
      </c>
      <c r="AN43" s="88">
        <v>535</v>
      </c>
      <c r="AO43" s="88">
        <v>703</v>
      </c>
      <c r="AP43" s="88">
        <v>1280</v>
      </c>
      <c r="AQ43" s="89">
        <v>591</v>
      </c>
      <c r="AR43" s="87">
        <v>-894</v>
      </c>
      <c r="AS43" s="88">
        <v>-1797</v>
      </c>
      <c r="AT43" s="88">
        <v>870</v>
      </c>
      <c r="AU43" s="88">
        <v>-370</v>
      </c>
      <c r="AV43" s="88">
        <v>-499</v>
      </c>
      <c r="AW43" s="88">
        <v>146</v>
      </c>
      <c r="AX43" s="88">
        <v>-198</v>
      </c>
      <c r="AY43" s="88">
        <v>-153</v>
      </c>
      <c r="AZ43" s="88">
        <v>-391</v>
      </c>
      <c r="BA43" s="89">
        <v>-1078</v>
      </c>
      <c r="BB43" s="30">
        <v>-1251</v>
      </c>
      <c r="BC43" s="31">
        <v>-1360</v>
      </c>
      <c r="BD43" s="31">
        <v>-920</v>
      </c>
      <c r="BE43" s="67">
        <v>-798</v>
      </c>
      <c r="BF43" s="67">
        <v>-1131</v>
      </c>
      <c r="BG43" s="67">
        <v>-316</v>
      </c>
      <c r="BH43" s="88">
        <v>-150</v>
      </c>
      <c r="BI43" s="88">
        <v>-605</v>
      </c>
      <c r="BJ43" s="88">
        <v>-598</v>
      </c>
      <c r="BK43" s="89">
        <v>502</v>
      </c>
      <c r="BL43" s="87">
        <v>483</v>
      </c>
      <c r="BM43" s="88">
        <v>1076</v>
      </c>
      <c r="BN43" s="88">
        <v>202</v>
      </c>
      <c r="BO43" s="5">
        <f>'Annual Change'!BO43-'Natural Change'!BO43</f>
        <v>1109</v>
      </c>
      <c r="BP43" s="5">
        <f>'Annual Change'!BP43-'Natural Change'!BP43</f>
        <v>289</v>
      </c>
      <c r="BQ43" s="89">
        <f>'Annual Change'!BQ43-'Natural Change'!BQ43</f>
        <v>-159</v>
      </c>
    </row>
    <row r="44" spans="1:69" x14ac:dyDescent="0.2">
      <c r="A44" s="22" t="s">
        <v>79</v>
      </c>
      <c r="B44" s="23" t="s">
        <v>80</v>
      </c>
      <c r="C44" s="26" t="s">
        <v>2</v>
      </c>
      <c r="D44" s="90">
        <v>4215</v>
      </c>
      <c r="E44" s="91">
        <v>12977</v>
      </c>
      <c r="F44" s="91">
        <v>-12718</v>
      </c>
      <c r="G44" s="91">
        <v>3756</v>
      </c>
      <c r="H44" s="91">
        <v>28400</v>
      </c>
      <c r="I44" s="91">
        <v>35965</v>
      </c>
      <c r="J44" s="91">
        <v>79894</v>
      </c>
      <c r="K44" s="91">
        <v>82178</v>
      </c>
      <c r="L44" s="91">
        <v>33582</v>
      </c>
      <c r="M44" s="92">
        <v>-13714</v>
      </c>
      <c r="N44" s="90">
        <v>-7226</v>
      </c>
      <c r="O44" s="91">
        <v>-28665</v>
      </c>
      <c r="P44" s="91">
        <v>-3323</v>
      </c>
      <c r="Q44" s="91">
        <v>46168</v>
      </c>
      <c r="R44" s="91">
        <v>39403</v>
      </c>
      <c r="S44" s="91">
        <v>45776</v>
      </c>
      <c r="T44" s="91">
        <v>55430</v>
      </c>
      <c r="U44" s="91">
        <v>93977</v>
      </c>
      <c r="V44" s="91">
        <v>112950</v>
      </c>
      <c r="W44" s="92">
        <v>119109</v>
      </c>
      <c r="X44" s="90">
        <v>60616</v>
      </c>
      <c r="Y44" s="91">
        <v>8736</v>
      </c>
      <c r="Z44" s="91">
        <v>-6345</v>
      </c>
      <c r="AA44" s="91">
        <v>11505</v>
      </c>
      <c r="AB44" s="91">
        <v>26547</v>
      </c>
      <c r="AC44" s="91">
        <v>10114</v>
      </c>
      <c r="AD44" s="91">
        <v>29846</v>
      </c>
      <c r="AE44" s="91">
        <v>54684</v>
      </c>
      <c r="AF44" s="91">
        <v>74032</v>
      </c>
      <c r="AG44" s="92">
        <v>98263</v>
      </c>
      <c r="AH44" s="90">
        <v>91074</v>
      </c>
      <c r="AI44" s="91">
        <v>47452</v>
      </c>
      <c r="AJ44" s="91">
        <v>56723</v>
      </c>
      <c r="AK44" s="91">
        <v>64854</v>
      </c>
      <c r="AL44" s="91">
        <v>67496</v>
      </c>
      <c r="AM44" s="91">
        <v>50678</v>
      </c>
      <c r="AN44" s="91">
        <v>60634</v>
      </c>
      <c r="AO44" s="91">
        <v>69055</v>
      </c>
      <c r="AP44" s="91">
        <v>70142</v>
      </c>
      <c r="AQ44" s="92">
        <v>65819</v>
      </c>
      <c r="AR44" s="90">
        <v>39500</v>
      </c>
      <c r="AS44" s="91">
        <v>54855</v>
      </c>
      <c r="AT44" s="91">
        <v>32881</v>
      </c>
      <c r="AU44" s="91">
        <v>46683</v>
      </c>
      <c r="AV44" s="91">
        <v>54029</v>
      </c>
      <c r="AW44" s="91">
        <v>83534</v>
      </c>
      <c r="AX44" s="91">
        <v>63311</v>
      </c>
      <c r="AY44" s="91">
        <v>41492</v>
      </c>
      <c r="AZ44" s="91">
        <v>22307</v>
      </c>
      <c r="BA44" s="92">
        <v>11541</v>
      </c>
      <c r="BB44" s="33">
        <v>15766</v>
      </c>
      <c r="BC44" s="34">
        <v>15854</v>
      </c>
      <c r="BD44" s="34">
        <v>38225</v>
      </c>
      <c r="BE44" s="68">
        <v>62868</v>
      </c>
      <c r="BF44" s="68">
        <v>65780</v>
      </c>
      <c r="BG44" s="68">
        <v>95441</v>
      </c>
      <c r="BH44" s="91">
        <v>73265</v>
      </c>
      <c r="BI44" s="91">
        <v>88432</v>
      </c>
      <c r="BJ44" s="91">
        <v>89836</v>
      </c>
      <c r="BK44" s="92">
        <v>98169</v>
      </c>
      <c r="BL44" s="90">
        <v>42543</v>
      </c>
      <c r="BM44" s="91">
        <v>83675</v>
      </c>
      <c r="BN44" s="91">
        <v>72054</v>
      </c>
      <c r="BO44" s="102">
        <f>'Annual Change'!BO44-'Natural Change'!BO44</f>
        <v>68950</v>
      </c>
      <c r="BP44" s="102">
        <f>'Annual Change'!BP44-'Natural Change'!BP44</f>
        <v>62324</v>
      </c>
      <c r="BQ44" s="92">
        <f>'Annual Change'!BQ44-'Natural Change'!BQ44</f>
        <v>43870</v>
      </c>
    </row>
    <row r="46" spans="1:69" x14ac:dyDescent="0.2">
      <c r="A46" s="113"/>
      <c r="BK46" s="4"/>
      <c r="BL46" s="4"/>
    </row>
    <row r="47" spans="1:69" x14ac:dyDescent="0.2">
      <c r="A47" s="113"/>
    </row>
  </sheetData>
  <pageMargins left="0.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Readme</vt:lpstr>
      <vt:lpstr>Population</vt:lpstr>
      <vt:lpstr>Annual Change</vt:lpstr>
      <vt:lpstr>Annual % Change</vt:lpstr>
      <vt:lpstr>Births</vt:lpstr>
      <vt:lpstr>Deaths</vt:lpstr>
      <vt:lpstr>Natural Change</vt:lpstr>
      <vt:lpstr>Residual Net Migration</vt:lpstr>
      <vt:lpstr>'Annual % Change'!Print_Titles</vt:lpstr>
      <vt:lpstr>'Annual Change'!Print_Titles</vt:lpstr>
      <vt:lpstr>Births!Print_Titles</vt:lpstr>
      <vt:lpstr>Deaths!Print_Titles</vt:lpstr>
      <vt:lpstr>'Natural Change'!Print_Titles</vt:lpstr>
      <vt:lpstr>Population!Print_Titles</vt:lpstr>
      <vt:lpstr>'Residual Net Migration'!Print_Titles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and Components of Change, 1960 to Present</dc:title>
  <dc:subject/>
  <dc:creator>OFM - Forecasting and Research</dc:creator>
  <dc:description/>
  <cp:lastModifiedBy>Mohrman, Mike (OFM)</cp:lastModifiedBy>
  <cp:lastPrinted>2015-06-22T19:02:35Z</cp:lastPrinted>
  <dcterms:created xsi:type="dcterms:W3CDTF">2012-06-19T21:03:12Z</dcterms:created>
  <dcterms:modified xsi:type="dcterms:W3CDTF">2026-06-25T22:19:43Z</dcterms:modified>
  <cp:category>External</cp:category>
</cp:coreProperties>
</file>